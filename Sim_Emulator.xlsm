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niSim\"/>
    </mc:Choice>
  </mc:AlternateContent>
  <xr:revisionPtr revIDLastSave="0" documentId="13_ncr:1_{22BCC854-4240-4E87-B6B4-CA9C1A77DDD9}" xr6:coauthVersionLast="45" xr6:coauthVersionMax="45" xr10:uidLastSave="{00000000-0000-0000-0000-000000000000}"/>
  <bookViews>
    <workbookView xWindow="38280" yWindow="-120" windowWidth="38640" windowHeight="21240" tabRatio="193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W9" i="1" l="1"/>
  <c r="X9" i="1"/>
  <c r="Y9" i="1"/>
  <c r="Z9" i="1"/>
  <c r="AA9" i="1"/>
  <c r="V9" i="1"/>
  <c r="W6" i="1"/>
  <c r="X6" i="1"/>
  <c r="Y6" i="1"/>
  <c r="Z6" i="1"/>
  <c r="AA6" i="1"/>
  <c r="V6" i="1"/>
  <c r="J63" i="1" l="1"/>
  <c r="K63" i="1" s="1"/>
  <c r="J64" i="1"/>
  <c r="K64" i="1" s="1"/>
  <c r="J62" i="1"/>
  <c r="K62" i="1" s="1"/>
  <c r="J59" i="1"/>
  <c r="J58" i="1"/>
  <c r="U15" i="1" s="1"/>
  <c r="J57" i="1"/>
  <c r="U14" i="1" s="1"/>
  <c r="V5" i="1"/>
  <c r="D2" i="1" s="1"/>
  <c r="W5" i="1"/>
  <c r="D3" i="1" s="1"/>
  <c r="D41" i="1" s="1"/>
  <c r="X5" i="1"/>
  <c r="C4" i="1" s="1"/>
  <c r="C69" i="1" s="1"/>
  <c r="Y5" i="1"/>
  <c r="C5" i="1" s="1"/>
  <c r="C47" i="1" s="1"/>
  <c r="Z5" i="1"/>
  <c r="AA5" i="1"/>
  <c r="D7" i="1" s="1"/>
  <c r="D53" i="1" s="1"/>
  <c r="V8" i="1"/>
  <c r="D10" i="1" s="1"/>
  <c r="W8" i="1"/>
  <c r="X8" i="1"/>
  <c r="Y8" i="1"/>
  <c r="D16" i="1" s="1"/>
  <c r="Z8" i="1"/>
  <c r="D18" i="1" s="1"/>
  <c r="AA8" i="1"/>
  <c r="V11" i="1"/>
  <c r="W11" i="1"/>
  <c r="X11" i="1"/>
  <c r="Y11" i="1"/>
  <c r="Z11" i="1"/>
  <c r="AA11" i="1"/>
  <c r="E78" i="1"/>
  <c r="E75" i="1"/>
  <c r="E72" i="1"/>
  <c r="E69" i="1"/>
  <c r="E66" i="1"/>
  <c r="E63" i="1"/>
  <c r="E53" i="1"/>
  <c r="E50" i="1"/>
  <c r="E47" i="1"/>
  <c r="E44" i="1"/>
  <c r="E41" i="1"/>
  <c r="E38" i="1"/>
  <c r="D12" i="1"/>
  <c r="D20" i="1"/>
  <c r="C6" i="1"/>
  <c r="C50" i="1" s="1"/>
  <c r="Y14" i="1" l="1"/>
  <c r="U16" i="1"/>
  <c r="Z16" i="1"/>
  <c r="X15" i="1"/>
  <c r="Y16" i="1"/>
  <c r="X16" i="1"/>
  <c r="Z14" i="1"/>
  <c r="Z15" i="1"/>
  <c r="X14" i="1"/>
  <c r="Y15" i="1"/>
  <c r="C2" i="1"/>
  <c r="C38" i="1" s="1"/>
  <c r="C75" i="1"/>
  <c r="C72" i="1"/>
  <c r="D66" i="1"/>
  <c r="D78" i="1"/>
  <c r="C44" i="1"/>
  <c r="G4" i="1"/>
  <c r="D4" i="1"/>
  <c r="D69" i="1" s="1"/>
  <c r="C12" i="1"/>
  <c r="C10" i="1"/>
  <c r="C14" i="1"/>
  <c r="G14" i="1" s="1"/>
  <c r="C16" i="1"/>
  <c r="C3" i="1"/>
  <c r="C66" i="1" s="1"/>
  <c r="C7" i="1"/>
  <c r="C78" i="1" s="1"/>
  <c r="C18" i="1"/>
  <c r="F18" i="1" s="1"/>
  <c r="D6" i="1"/>
  <c r="D75" i="1" s="1"/>
  <c r="C20" i="1"/>
  <c r="G20" i="1" s="1"/>
  <c r="D14" i="1"/>
  <c r="D5" i="1"/>
  <c r="D72" i="1" s="1"/>
  <c r="G6" i="1"/>
  <c r="G5" i="1"/>
  <c r="C25" i="1" l="1"/>
  <c r="D22" i="1"/>
  <c r="U43" i="1" s="1"/>
  <c r="D23" i="1"/>
  <c r="U44" i="1" s="1"/>
  <c r="C22" i="1"/>
  <c r="T43" i="1" s="1"/>
  <c r="G2" i="1"/>
  <c r="G38" i="1" s="1"/>
  <c r="G8" i="1"/>
  <c r="C63" i="1"/>
  <c r="G50" i="1"/>
  <c r="G75" i="1"/>
  <c r="D63" i="1"/>
  <c r="G44" i="1"/>
  <c r="G69" i="1"/>
  <c r="G47" i="1"/>
  <c r="G72" i="1"/>
  <c r="F5" i="1"/>
  <c r="D47" i="1"/>
  <c r="F4" i="1"/>
  <c r="D44" i="1"/>
  <c r="G7" i="1"/>
  <c r="C53" i="1"/>
  <c r="G3" i="1"/>
  <c r="C41" i="1"/>
  <c r="F6" i="1"/>
  <c r="D50" i="1"/>
  <c r="F8" i="1"/>
  <c r="D38" i="1"/>
  <c r="F2" i="1"/>
  <c r="E22" i="1"/>
  <c r="V43" i="1" s="1"/>
  <c r="F3" i="1"/>
  <c r="C23" i="1"/>
  <c r="E26" i="1"/>
  <c r="C27" i="1"/>
  <c r="T48" i="1" s="1"/>
  <c r="C26" i="1"/>
  <c r="G12" i="1"/>
  <c r="C24" i="1"/>
  <c r="F14" i="1"/>
  <c r="E23" i="1"/>
  <c r="E25" i="1"/>
  <c r="D24" i="1"/>
  <c r="U45" i="1" s="1"/>
  <c r="E27" i="1"/>
  <c r="D27" i="1"/>
  <c r="U48" i="1" s="1"/>
  <c r="G16" i="1"/>
  <c r="D25" i="1"/>
  <c r="U46" i="1" s="1"/>
  <c r="E24" i="1"/>
  <c r="D26" i="1"/>
  <c r="U47" i="1" s="1"/>
  <c r="F16" i="1"/>
  <c r="F7" i="1"/>
  <c r="F12" i="1"/>
  <c r="F20" i="1"/>
  <c r="G18" i="1"/>
  <c r="Y40" i="1" l="1"/>
  <c r="V48" i="1"/>
  <c r="X48" i="1" s="1"/>
  <c r="X49" i="1"/>
  <c r="X43" i="1"/>
  <c r="W43" i="1"/>
  <c r="W49" i="1"/>
  <c r="W31" i="1"/>
  <c r="T45" i="1"/>
  <c r="W48" i="1"/>
  <c r="Y37" i="1"/>
  <c r="V47" i="1"/>
  <c r="Y34" i="1"/>
  <c r="V46" i="1"/>
  <c r="W28" i="1"/>
  <c r="T36" i="1"/>
  <c r="T44" i="1"/>
  <c r="Y31" i="1"/>
  <c r="V45" i="1"/>
  <c r="Y28" i="1"/>
  <c r="V44" i="1"/>
  <c r="W37" i="1"/>
  <c r="T47" i="1"/>
  <c r="W34" i="1"/>
  <c r="T46" i="1"/>
  <c r="W46" i="1" s="1"/>
  <c r="T29" i="1"/>
  <c r="Y25" i="1"/>
  <c r="D46" i="1"/>
  <c r="X34" i="1"/>
  <c r="T40" i="1"/>
  <c r="W40" i="1"/>
  <c r="T35" i="1"/>
  <c r="W25" i="1"/>
  <c r="D43" i="1"/>
  <c r="X31" i="1"/>
  <c r="D40" i="1"/>
  <c r="X28" i="1"/>
  <c r="D37" i="1"/>
  <c r="X25" i="1"/>
  <c r="D49" i="1"/>
  <c r="X37" i="1"/>
  <c r="D52" i="1"/>
  <c r="X40" i="1"/>
  <c r="T37" i="1"/>
  <c r="T39" i="1"/>
  <c r="T38" i="1"/>
  <c r="C35" i="1"/>
  <c r="C31" i="1"/>
  <c r="C30" i="1"/>
  <c r="C32" i="1"/>
  <c r="C34" i="1"/>
  <c r="C46" i="1"/>
  <c r="C33" i="1"/>
  <c r="G63" i="1"/>
  <c r="E43" i="1"/>
  <c r="T31" i="1"/>
  <c r="C52" i="1"/>
  <c r="C43" i="1"/>
  <c r="E49" i="1"/>
  <c r="T33" i="1"/>
  <c r="E37" i="1"/>
  <c r="E46" i="1"/>
  <c r="T32" i="1"/>
  <c r="C37" i="1"/>
  <c r="E52" i="1"/>
  <c r="T34" i="1"/>
  <c r="E40" i="1"/>
  <c r="T30" i="1"/>
  <c r="C49" i="1"/>
  <c r="C40" i="1"/>
  <c r="F50" i="1"/>
  <c r="F75" i="1"/>
  <c r="F47" i="1"/>
  <c r="F72" i="1"/>
  <c r="F41" i="1"/>
  <c r="F66" i="1"/>
  <c r="F38" i="1"/>
  <c r="F63" i="1"/>
  <c r="G53" i="1"/>
  <c r="G78" i="1"/>
  <c r="F53" i="1"/>
  <c r="F78" i="1"/>
  <c r="G41" i="1"/>
  <c r="G66" i="1"/>
  <c r="F44" i="1"/>
  <c r="F69" i="1"/>
  <c r="G28" i="1"/>
  <c r="F28" i="1"/>
  <c r="F22" i="1"/>
  <c r="F23" i="1"/>
  <c r="G22" i="1"/>
  <c r="G23" i="1"/>
  <c r="G26" i="1"/>
  <c r="F25" i="1"/>
  <c r="G25" i="1"/>
  <c r="G27" i="1"/>
  <c r="F26" i="1"/>
  <c r="F27" i="1"/>
  <c r="F24" i="1"/>
  <c r="G24" i="1"/>
  <c r="G10" i="1"/>
  <c r="F10" i="1"/>
  <c r="T23" i="1" l="1"/>
  <c r="C55" i="1" s="1"/>
  <c r="X45" i="1"/>
  <c r="W45" i="1"/>
  <c r="W47" i="1"/>
  <c r="X47" i="1"/>
  <c r="X46" i="1"/>
  <c r="W44" i="1"/>
  <c r="X44" i="1"/>
  <c r="G43" i="1"/>
  <c r="AA31" i="1"/>
  <c r="G40" i="1"/>
  <c r="AA28" i="1"/>
  <c r="G46" i="1"/>
  <c r="AA34" i="1"/>
  <c r="F43" i="1"/>
  <c r="Z31" i="1"/>
  <c r="G37" i="1"/>
  <c r="AA25" i="1"/>
  <c r="F52" i="1"/>
  <c r="Z40" i="1"/>
  <c r="F46" i="1"/>
  <c r="Z34" i="1"/>
  <c r="F40" i="1"/>
  <c r="Z28" i="1"/>
  <c r="G52" i="1"/>
  <c r="AA40" i="1"/>
  <c r="F49" i="1"/>
  <c r="Z37" i="1"/>
  <c r="G49" i="1"/>
  <c r="AA37" i="1"/>
  <c r="F37" i="1"/>
  <c r="Z25" i="1"/>
  <c r="T24" i="1"/>
  <c r="C56" i="1" s="1"/>
  <c r="T26" i="1"/>
  <c r="C58" i="1" s="1"/>
  <c r="E58" i="1" s="1"/>
  <c r="G58" i="1" s="1"/>
  <c r="T25" i="1"/>
  <c r="C57" i="1" s="1"/>
  <c r="T27" i="1"/>
  <c r="C59" i="1" s="1"/>
  <c r="T28" i="1"/>
  <c r="C60" i="1" s="1"/>
  <c r="D77" i="1" s="1"/>
  <c r="X39" i="1" s="1"/>
  <c r="D65" i="1" l="1"/>
  <c r="X27" i="1" s="1"/>
  <c r="E65" i="1"/>
  <c r="Y27" i="1" s="1"/>
  <c r="E59" i="1"/>
  <c r="G59" i="1" s="1"/>
  <c r="C74" i="1"/>
  <c r="W36" i="1" s="1"/>
  <c r="E74" i="1"/>
  <c r="Y36" i="1" s="1"/>
  <c r="D74" i="1"/>
  <c r="X36" i="1" s="1"/>
  <c r="E57" i="1"/>
  <c r="G57" i="1" s="1"/>
  <c r="C68" i="1"/>
  <c r="W30" i="1" s="1"/>
  <c r="E68" i="1"/>
  <c r="Y30" i="1" s="1"/>
  <c r="D68" i="1"/>
  <c r="X30" i="1" s="1"/>
  <c r="E56" i="1"/>
  <c r="G56" i="1" s="1"/>
  <c r="C65" i="1"/>
  <c r="W27" i="1" s="1"/>
  <c r="E55" i="1"/>
  <c r="G55" i="1" s="1"/>
  <c r="E62" i="1"/>
  <c r="Y24" i="1" s="1"/>
  <c r="D62" i="1"/>
  <c r="X24" i="1" s="1"/>
  <c r="C62" i="1"/>
  <c r="W24" i="1" s="1"/>
  <c r="E60" i="1"/>
  <c r="G60" i="1" s="1"/>
  <c r="C77" i="1"/>
  <c r="W39" i="1" s="1"/>
  <c r="D71" i="1"/>
  <c r="X33" i="1" s="1"/>
  <c r="E71" i="1"/>
  <c r="Y33" i="1" s="1"/>
  <c r="C71" i="1"/>
  <c r="W33" i="1" s="1"/>
  <c r="E77" i="1"/>
  <c r="Y39" i="1" s="1"/>
  <c r="G65" i="1" l="1"/>
  <c r="AA27" i="1" s="1"/>
  <c r="G68" i="1"/>
  <c r="AA30" i="1" s="1"/>
  <c r="F71" i="1"/>
  <c r="Z33" i="1" s="1"/>
  <c r="G71" i="1"/>
  <c r="AA33" i="1" s="1"/>
  <c r="F68" i="1"/>
  <c r="Z30" i="1" s="1"/>
  <c r="F65" i="1"/>
  <c r="Z27" i="1" s="1"/>
  <c r="G62" i="1"/>
  <c r="AA24" i="1" s="1"/>
  <c r="F77" i="1"/>
  <c r="Z39" i="1" s="1"/>
  <c r="G77" i="1"/>
  <c r="AA39" i="1" s="1"/>
  <c r="G74" i="1"/>
  <c r="AA36" i="1" s="1"/>
  <c r="F74" i="1"/>
  <c r="Z36" i="1" s="1"/>
  <c r="F62" i="1"/>
  <c r="Z24" i="1" s="1"/>
</calcChain>
</file>

<file path=xl/sharedStrings.xml><?xml version="1.0" encoding="utf-8"?>
<sst xmlns="http://schemas.openxmlformats.org/spreadsheetml/2006/main" count="75" uniqueCount="56">
  <si>
    <t>Translational</t>
  </si>
  <si>
    <t>Rotational</t>
  </si>
  <si>
    <t>X</t>
  </si>
  <si>
    <t>Y</t>
  </si>
  <si>
    <t>Z</t>
  </si>
  <si>
    <t>Base Distance</t>
  </si>
  <si>
    <t>Platform Distance</t>
  </si>
  <si>
    <t>B</t>
  </si>
  <si>
    <t>X'</t>
  </si>
  <si>
    <t>Y'</t>
  </si>
  <si>
    <t>P</t>
  </si>
  <si>
    <t>Q</t>
  </si>
  <si>
    <t>Req Position</t>
  </si>
  <si>
    <t>Req Rotation</t>
  </si>
  <si>
    <t>Roll (psi)</t>
  </si>
  <si>
    <t>Pitch (theta)</t>
  </si>
  <si>
    <t>Yaw (phi)</t>
  </si>
  <si>
    <t>Surge</t>
  </si>
  <si>
    <t>Sway</t>
  </si>
  <si>
    <t>Heave</t>
  </si>
  <si>
    <t>Beta Angle</t>
  </si>
  <si>
    <t>Base Angle (RAD)</t>
  </si>
  <si>
    <t>Beta Angle (RAD)</t>
  </si>
  <si>
    <t>Platform Angle (RAD)</t>
  </si>
  <si>
    <t>CONSTANTS</t>
  </si>
  <si>
    <t>SERVO_NUM</t>
  </si>
  <si>
    <t>SERVO_MIN</t>
  </si>
  <si>
    <t>SERVO_MAX</t>
  </si>
  <si>
    <t>BASE_DIST</t>
  </si>
  <si>
    <t>PLAT_DIST</t>
  </si>
  <si>
    <t>SERVO_LEN</t>
  </si>
  <si>
    <t>SERVO_DIST</t>
  </si>
  <si>
    <t>LEG_LEN</t>
  </si>
  <si>
    <t>Z_HOME</t>
  </si>
  <si>
    <t>L</t>
  </si>
  <si>
    <t>SERVOS</t>
  </si>
  <si>
    <t>Base Home</t>
  </si>
  <si>
    <t>Plat Home</t>
  </si>
  <si>
    <t>Alpha</t>
  </si>
  <si>
    <t>Loop</t>
  </si>
  <si>
    <t>M</t>
  </si>
  <si>
    <t>N</t>
  </si>
  <si>
    <t>SURGE</t>
  </si>
  <si>
    <t>SWAY</t>
  </si>
  <si>
    <t>HEAVE</t>
  </si>
  <si>
    <t>ROLL</t>
  </si>
  <si>
    <t>PITCH</t>
  </si>
  <si>
    <t>YAW</t>
  </si>
  <si>
    <t>Platform Angle (DEG)</t>
  </si>
  <si>
    <t>Base Angle (DEG)</t>
  </si>
  <si>
    <t>Leg length</t>
  </si>
  <si>
    <t>True Leg Vectors</t>
  </si>
  <si>
    <t>MIN SR ANG</t>
  </si>
  <si>
    <t>MAX SR ANG</t>
  </si>
  <si>
    <t>Arm Vectors</t>
  </si>
  <si>
    <t>A                             (position of arm/leg joint)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</si>
</sst>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Inconsolata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0" fontId="3" fillId="0" borderId="1" xfId="0" applyFont="1" applyFill="1" applyBorder="1" applyAlignment="1">
      <alignment horizontal="left" wrapText="1"/>
    </xf>
    <xf numFmtId="2" fontId="2" fillId="0" borderId="1" xfId="0" applyNumberFormat="1" applyFont="1" applyBorder="1" applyAlignment="1">
      <alignment horizontal="right" wrapText="1"/>
    </xf>
    <xf numFmtId="2" fontId="0" fillId="0" borderId="1" xfId="0" applyNumberFormat="1" applyBorder="1"/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2" fillId="0" borderId="0" xfId="0" applyFont="1" applyBorder="1" applyAlignment="1">
      <alignment horizontal="right" wrapText="1"/>
    </xf>
    <xf numFmtId="0" fontId="0" fillId="0" borderId="6" xfId="0" applyBorder="1"/>
    <xf numFmtId="0" fontId="5" fillId="2" borderId="1" xfId="0" applyFont="1" applyFill="1" applyBorder="1" applyAlignment="1">
      <alignment horizontal="right" wrapText="1"/>
    </xf>
    <xf numFmtId="0" fontId="0" fillId="0" borderId="0" xfId="0" applyBorder="1"/>
    <xf numFmtId="2" fontId="0" fillId="0" borderId="0" xfId="0" applyNumberFormat="1" applyBorder="1"/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/>
    <xf numFmtId="1" fontId="0" fillId="0" borderId="5" xfId="0" applyNumberFormat="1" applyBorder="1" applyAlignment="1"/>
    <xf numFmtId="0" fontId="1" fillId="0" borderId="1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2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3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right" wrapText="1"/>
    </xf>
    <xf numFmtId="1" fontId="2" fillId="4" borderId="1" xfId="0" applyNumberFormat="1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>
      <alignment horizontal="right" wrapText="1"/>
    </xf>
    <xf numFmtId="0" fontId="4" fillId="4" borderId="3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BASE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Sheet1!$F$2:$F$8</c:f>
              <c:numCache>
                <c:formatCode>0.00</c:formatCode>
                <c:ptCount val="7"/>
                <c:pt idx="0">
                  <c:v>126.85929366287414</c:v>
                </c:pt>
                <c:pt idx="1">
                  <c:v>108.84790569264615</c:v>
                </c:pt>
                <c:pt idx="2">
                  <c:v>-41.496626581879582</c:v>
                </c:pt>
                <c:pt idx="3">
                  <c:v>-114.96416872381732</c:v>
                </c:pt>
                <c:pt idx="4">
                  <c:v>-85.362667080994527</c:v>
                </c:pt>
                <c:pt idx="5">
                  <c:v>6.1162630311711936</c:v>
                </c:pt>
                <c:pt idx="6" formatCode="General">
                  <c:v>126.85929366287414</c:v>
                </c:pt>
              </c:numCache>
            </c:numRef>
          </c:xVal>
          <c:yVal>
            <c:numRef>
              <c:f>Sheet1!$G$2:$G$8</c:f>
              <c:numCache>
                <c:formatCode>0.00</c:formatCode>
                <c:ptCount val="7"/>
                <c:pt idx="0">
                  <c:v>5.9475624695284148</c:v>
                </c:pt>
                <c:pt idx="1">
                  <c:v>33.675639555383249</c:v>
                </c:pt>
                <c:pt idx="2">
                  <c:v>33.67563955538327</c:v>
                </c:pt>
                <c:pt idx="3">
                  <c:v>5.9475624695283997</c:v>
                </c:pt>
                <c:pt idx="4">
                  <c:v>-39.623202024911656</c:v>
                </c:pt>
                <c:pt idx="5">
                  <c:v>-39.623202024911656</c:v>
                </c:pt>
                <c:pt idx="6" formatCode="General">
                  <c:v>5.9475624695284148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1F4-4F1A-A470-60C2A1124C16}"/>
            </c:ext>
          </c:extLst>
        </c:ser>
        <c:ser>
          <c:idx val="2"/>
          <c:order val="1"/>
          <c:tx>
            <c:v>Platform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Sheet1!$F$22:$F$28</c:f>
              <c:numCache>
                <c:formatCode>0.00</c:formatCode>
                <c:ptCount val="7"/>
                <c:pt idx="0">
                  <c:v>102.69907607912567</c:v>
                </c:pt>
                <c:pt idx="1">
                  <c:v>56.35111398765239</c:v>
                </c:pt>
                <c:pt idx="2">
                  <c:v>41.154967538930478</c:v>
                </c:pt>
                <c:pt idx="3">
                  <c:v>-147.89602973993948</c:v>
                </c:pt>
                <c:pt idx="4">
                  <c:v>-144.90404361805619</c:v>
                </c:pt>
                <c:pt idx="5">
                  <c:v>90.494915752287085</c:v>
                </c:pt>
                <c:pt idx="6">
                  <c:v>102.69907607912567</c:v>
                </c:pt>
              </c:numCache>
            </c:numRef>
          </c:xVal>
          <c:yVal>
            <c:numRef>
              <c:f>Sheet1!$G$22:$G$28</c:f>
              <c:numCache>
                <c:formatCode>0.00</c:formatCode>
                <c:ptCount val="7"/>
                <c:pt idx="0">
                  <c:v>121.40152316959309</c:v>
                </c:pt>
                <c:pt idx="1">
                  <c:v>192.75304076329147</c:v>
                </c:pt>
                <c:pt idx="2">
                  <c:v>192.75304076329147</c:v>
                </c:pt>
                <c:pt idx="3">
                  <c:v>121.40152316959308</c:v>
                </c:pt>
                <c:pt idx="4">
                  <c:v>116.79543606711545</c:v>
                </c:pt>
                <c:pt idx="5">
                  <c:v>116.79543606711545</c:v>
                </c:pt>
                <c:pt idx="6">
                  <c:v>121.40152316959309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1F4-4F1A-A470-60C2A1124C16}"/>
            </c:ext>
          </c:extLst>
        </c:ser>
        <c:ser>
          <c:idx val="3"/>
          <c:order val="2"/>
          <c:tx>
            <c:v>Legs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Sheet1!$F$37:$F$53</c:f>
              <c:numCache>
                <c:formatCode>0.00</c:formatCode>
                <c:ptCount val="17"/>
                <c:pt idx="0">
                  <c:v>102.69907607912567</c:v>
                </c:pt>
                <c:pt idx="1">
                  <c:v>126.85929366287414</c:v>
                </c:pt>
                <c:pt idx="3">
                  <c:v>56.35111398765239</c:v>
                </c:pt>
                <c:pt idx="4">
                  <c:v>108.84790569264615</c:v>
                </c:pt>
                <c:pt idx="6">
                  <c:v>41.154967538930478</c:v>
                </c:pt>
                <c:pt idx="7">
                  <c:v>-41.496626581879582</c:v>
                </c:pt>
                <c:pt idx="9">
                  <c:v>-147.89602973993948</c:v>
                </c:pt>
                <c:pt idx="10">
                  <c:v>-114.96416872381732</c:v>
                </c:pt>
                <c:pt idx="12">
                  <c:v>-144.90404361805619</c:v>
                </c:pt>
                <c:pt idx="13">
                  <c:v>-85.362667080994527</c:v>
                </c:pt>
                <c:pt idx="15">
                  <c:v>90.494915752287085</c:v>
                </c:pt>
                <c:pt idx="16">
                  <c:v>6.1162630311711936</c:v>
                </c:pt>
              </c:numCache>
            </c:numRef>
          </c:xVal>
          <c:yVal>
            <c:numRef>
              <c:f>Sheet1!$G$37:$G$53</c:f>
              <c:numCache>
                <c:formatCode>0.00</c:formatCode>
                <c:ptCount val="17"/>
                <c:pt idx="0">
                  <c:v>121.40152316959309</c:v>
                </c:pt>
                <c:pt idx="1">
                  <c:v>5.9475624695284148</c:v>
                </c:pt>
                <c:pt idx="3">
                  <c:v>192.75304076329147</c:v>
                </c:pt>
                <c:pt idx="4">
                  <c:v>33.675639555383249</c:v>
                </c:pt>
                <c:pt idx="6">
                  <c:v>192.75304076329147</c:v>
                </c:pt>
                <c:pt idx="7">
                  <c:v>33.67563955538327</c:v>
                </c:pt>
                <c:pt idx="9">
                  <c:v>121.40152316959308</c:v>
                </c:pt>
                <c:pt idx="10">
                  <c:v>5.9475624695283997</c:v>
                </c:pt>
                <c:pt idx="12">
                  <c:v>116.79543606711545</c:v>
                </c:pt>
                <c:pt idx="13">
                  <c:v>-39.623202024911656</c:v>
                </c:pt>
                <c:pt idx="15">
                  <c:v>116.79543606711545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1F4-4F1A-A470-60C2A1124C16}"/>
            </c:ext>
          </c:extLst>
        </c:ser>
        <c:ser>
          <c:idx val="4"/>
          <c:order val="3"/>
          <c:tx>
            <c:v>Arms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Sheet1!$F$62:$F$78</c:f>
              <c:numCache>
                <c:formatCode>0.00</c:formatCode>
                <c:ptCount val="17"/>
                <c:pt idx="0">
                  <c:v>158.32058621450039</c:v>
                </c:pt>
                <c:pt idx="1">
                  <c:v>126.85929366287414</c:v>
                </c:pt>
                <c:pt idx="3">
                  <c:v>148.21717396890415</c:v>
                </c:pt>
                <c:pt idx="4">
                  <c:v>108.84790569264615</c:v>
                </c:pt>
                <c:pt idx="6">
                  <c:v>-80.865894858137594</c:v>
                </c:pt>
                <c:pt idx="7">
                  <c:v>-41.496626581879582</c:v>
                </c:pt>
                <c:pt idx="9">
                  <c:v>-122.67725575070337</c:v>
                </c:pt>
                <c:pt idx="10">
                  <c:v>-114.96416872381732</c:v>
                </c:pt>
                <c:pt idx="12">
                  <c:v>-77.605266101487871</c:v>
                </c:pt>
                <c:pt idx="13">
                  <c:v>-85.362667080994527</c:v>
                </c:pt>
                <c:pt idx="15">
                  <c:v>-25.525783895798622</c:v>
                </c:pt>
                <c:pt idx="16">
                  <c:v>6.1162630311711936</c:v>
                </c:pt>
              </c:numCache>
            </c:numRef>
          </c:xVal>
          <c:yVal>
            <c:numRef>
              <c:f>Sheet1!$G$62:$G$78</c:f>
              <c:numCache>
                <c:formatCode>0.00</c:formatCode>
                <c:ptCount val="17"/>
                <c:pt idx="0">
                  <c:v>25.906712210032595</c:v>
                </c:pt>
                <c:pt idx="1">
                  <c:v>5.9475624695284148</c:v>
                </c:pt>
                <c:pt idx="3">
                  <c:v>40.750999291257159</c:v>
                </c:pt>
                <c:pt idx="4">
                  <c:v>33.675639555383249</c:v>
                </c:pt>
                <c:pt idx="6">
                  <c:v>40.750999291257124</c:v>
                </c:pt>
                <c:pt idx="7">
                  <c:v>33.67563955538327</c:v>
                </c:pt>
                <c:pt idx="9">
                  <c:v>25.90671221003258</c:v>
                </c:pt>
                <c:pt idx="10">
                  <c:v>5.9475624695283997</c:v>
                </c:pt>
                <c:pt idx="12">
                  <c:v>-44.660200627924183</c:v>
                </c:pt>
                <c:pt idx="13">
                  <c:v>-39.623202024911656</c:v>
                </c:pt>
                <c:pt idx="15">
                  <c:v>-44.660200627924148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1F4-4F1A-A470-60C2A1124C16}"/>
            </c:ext>
          </c:extLst>
        </c:ser>
        <c:ser>
          <c:idx val="1"/>
          <c:order val="4"/>
          <c:tx>
            <c:v>True Legs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Sheet1!$Z$24:$Z$40</c:f>
              <c:numCache>
                <c:formatCode>0.00</c:formatCode>
                <c:ptCount val="17"/>
                <c:pt idx="0">
                  <c:v>158.32058621450039</c:v>
                </c:pt>
                <c:pt idx="1">
                  <c:v>102.69907607912567</c:v>
                </c:pt>
                <c:pt idx="3">
                  <c:v>148.21717396890415</c:v>
                </c:pt>
                <c:pt idx="4">
                  <c:v>56.35111398765239</c:v>
                </c:pt>
                <c:pt idx="6">
                  <c:v>-80.865894858137594</c:v>
                </c:pt>
                <c:pt idx="7">
                  <c:v>41.154967538930478</c:v>
                </c:pt>
                <c:pt idx="9">
                  <c:v>-122.67725575070337</c:v>
                </c:pt>
                <c:pt idx="10">
                  <c:v>-147.89602973993948</c:v>
                </c:pt>
                <c:pt idx="12">
                  <c:v>-77.605266101487871</c:v>
                </c:pt>
                <c:pt idx="13">
                  <c:v>-144.90404361805619</c:v>
                </c:pt>
                <c:pt idx="15">
                  <c:v>-25.525783895798622</c:v>
                </c:pt>
                <c:pt idx="16">
                  <c:v>90.494915752287085</c:v>
                </c:pt>
              </c:numCache>
            </c:numRef>
          </c:xVal>
          <c:yVal>
            <c:numRef>
              <c:f>Sheet1!$AA$24:$AA$40</c:f>
              <c:numCache>
                <c:formatCode>0.00</c:formatCode>
                <c:ptCount val="17"/>
                <c:pt idx="0">
                  <c:v>25.906712210032595</c:v>
                </c:pt>
                <c:pt idx="1">
                  <c:v>121.40152316959309</c:v>
                </c:pt>
                <c:pt idx="3">
                  <c:v>40.750999291257159</c:v>
                </c:pt>
                <c:pt idx="4">
                  <c:v>192.75304076329147</c:v>
                </c:pt>
                <c:pt idx="6">
                  <c:v>40.750999291257124</c:v>
                </c:pt>
                <c:pt idx="7">
                  <c:v>192.75304076329147</c:v>
                </c:pt>
                <c:pt idx="9">
                  <c:v>25.90671221003258</c:v>
                </c:pt>
                <c:pt idx="10">
                  <c:v>121.40152316959308</c:v>
                </c:pt>
                <c:pt idx="12">
                  <c:v>-44.660200627924183</c:v>
                </c:pt>
                <c:pt idx="13">
                  <c:v>116.79543606711545</c:v>
                </c:pt>
                <c:pt idx="15">
                  <c:v>-44.660200627924148</c:v>
                </c:pt>
                <c:pt idx="16">
                  <c:v>116.79543606711545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4-4F06-8F46-9010CCF0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67439"/>
        <c:axId val="284271839"/>
      </c:scatterChart>
      <c:valAx>
        <c:axId val="353267439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71839"/>
        <c:crosses val="autoZero"/>
        <c:crossBetween val="midCat"/>
        <c:majorUnit val="20"/>
      </c:valAx>
      <c:valAx>
        <c:axId val="284271839"/>
        <c:scaling>
          <c:orientation val="minMax"/>
          <c:max val="3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67439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L$48" max="100" noThreeD="1" page="10" val="50"/>
</file>

<file path=xl/ctrlProps/ctrlProp2.xml><?xml version="1.0" encoding="utf-8"?>
<formControlPr xmlns="http://schemas.microsoft.com/office/spreadsheetml/2009/9/main" objectType="Spin" dx="26" fmlaLink="$M$48" max="90" noThreeD="1" page="10" val="45"/>
</file>

<file path=xl/ctrlProps/ctrlProp3.xml><?xml version="1.0" encoding="utf-8"?>
<formControlPr xmlns="http://schemas.microsoft.com/office/spreadsheetml/2009/9/main" objectType="Spin" dx="26" fmlaLink="N$48" max="90" noThreeD="1" page="10" val="45"/>
</file>

<file path=xl/ctrlProps/ctrlProp4.xml><?xml version="1.0" encoding="utf-8"?>
<formControlPr xmlns="http://schemas.microsoft.com/office/spreadsheetml/2009/9/main" objectType="Spin" dx="26" fmlaLink="$O$48" max="90" noThreeD="1" page="10" val="45"/>
</file>

<file path=xl/ctrlProps/ctrlProp5.xml><?xml version="1.0" encoding="utf-8"?>
<formControlPr xmlns="http://schemas.microsoft.com/office/spreadsheetml/2009/9/main" objectType="Spin" dx="26" fmlaLink="$K$48" max="100" noThreeD="1" page="10" val="50"/>
</file>

<file path=xl/ctrlProps/ctrlProp6.xml><?xml version="1.0" encoding="utf-8"?>
<formControlPr xmlns="http://schemas.microsoft.com/office/spreadsheetml/2009/9/main" objectType="Spin" dx="26" fmlaLink="$J$48" max="100" noThreeD="1" page="10" val="5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26052</xdr:colOff>
      <xdr:row>1</xdr:row>
      <xdr:rowOff>41741</xdr:rowOff>
    </xdr:from>
    <xdr:to>
      <xdr:col>16</xdr:col>
      <xdr:colOff>660400</xdr:colOff>
      <xdr:row>43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98425</xdr:colOff>
          <xdr:row>46</xdr:row>
          <xdr:rowOff>174625</xdr:rowOff>
        </xdr:from>
        <xdr:to>
          <xdr:col>11</xdr:col>
          <xdr:colOff>593725</xdr:colOff>
          <xdr:row>54</xdr:row>
          <xdr:rowOff>3175</xdr:rowOff>
        </xdr:to>
        <xdr:sp macro="" textlink="">
          <xdr:nvSpPr>
            <xdr:cNvPr id="1044" name="Spinne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46</xdr:row>
          <xdr:rowOff>174625</xdr:rowOff>
        </xdr:from>
        <xdr:to>
          <xdr:col>12</xdr:col>
          <xdr:colOff>628650</xdr:colOff>
          <xdr:row>54</xdr:row>
          <xdr:rowOff>12700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107950</xdr:colOff>
          <xdr:row>46</xdr:row>
          <xdr:rowOff>187325</xdr:rowOff>
        </xdr:from>
        <xdr:to>
          <xdr:col>13</xdr:col>
          <xdr:colOff>593725</xdr:colOff>
          <xdr:row>54</xdr:row>
          <xdr:rowOff>15875</xdr:rowOff>
        </xdr:to>
        <xdr:sp macro="" textlink="">
          <xdr:nvSpPr>
            <xdr:cNvPr id="1047" name="Spinne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149225</xdr:colOff>
          <xdr:row>47</xdr:row>
          <xdr:rowOff>9525</xdr:rowOff>
        </xdr:from>
        <xdr:to>
          <xdr:col>14</xdr:col>
          <xdr:colOff>635000</xdr:colOff>
          <xdr:row>54</xdr:row>
          <xdr:rowOff>28575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46</xdr:row>
          <xdr:rowOff>174625</xdr:rowOff>
        </xdr:from>
        <xdr:to>
          <xdr:col>10</xdr:col>
          <xdr:colOff>581025</xdr:colOff>
          <xdr:row>54</xdr:row>
          <xdr:rowOff>3175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136525</xdr:colOff>
          <xdr:row>46</xdr:row>
          <xdr:rowOff>174625</xdr:rowOff>
        </xdr:from>
        <xdr:to>
          <xdr:col>9</xdr:col>
          <xdr:colOff>612775</xdr:colOff>
          <xdr:row>54</xdr:row>
          <xdr:rowOff>3175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14"/>
  <sheetViews>
    <sheetView tabSelected="1" zoomScale="75" zoomScaleNormal="75" workbookViewId="0">
      <selection activeCell="C13" sqref="C13:G13"/>
    </sheetView>
  </sheetViews>
  <sheetFormatPr defaultRowHeight="15"/>
  <cols>
    <col min="1" max="1" width="18.7109375" customWidth="1"/>
    <col min="4" max="4" width="9" customWidth="1"/>
    <col min="7" max="7" width="11.7109375" customWidth="1"/>
    <col min="8" max="8" width="10.140625" customWidth="1"/>
    <col min="9" max="9" width="22" customWidth="1"/>
    <col min="10" max="15" width="10.7109375" customWidth="1"/>
    <col min="17" max="17" width="10.7109375" customWidth="1"/>
    <col min="18" max="18" width="18.28515625" customWidth="1"/>
    <col min="19" max="19" width="11.5703125" bestFit="1" customWidth="1"/>
    <col min="20" max="20" width="13" customWidth="1"/>
    <col min="21" max="21" width="24.140625" customWidth="1"/>
    <col min="22" max="27" width="10.7109375" customWidth="1"/>
  </cols>
  <sheetData>
    <row r="1" spans="1:27">
      <c r="A1" s="1"/>
      <c r="B1" s="1"/>
      <c r="C1" s="6" t="s">
        <v>2</v>
      </c>
      <c r="D1" s="6" t="s">
        <v>3</v>
      </c>
      <c r="E1" s="6" t="s">
        <v>4</v>
      </c>
      <c r="F1" s="6" t="s">
        <v>8</v>
      </c>
      <c r="G1" s="6" t="s">
        <v>9</v>
      </c>
    </row>
    <row r="2" spans="1:27" ht="15" customHeight="1">
      <c r="A2" s="55" t="s">
        <v>7</v>
      </c>
      <c r="B2" s="6">
        <v>1</v>
      </c>
      <c r="C2" s="11">
        <f>V6*SIN(V5)</f>
        <v>-16.993035627224042</v>
      </c>
      <c r="D2" s="11">
        <f>V6*COS(V5)</f>
        <v>120.91173119334572</v>
      </c>
      <c r="E2" s="11">
        <v>0</v>
      </c>
      <c r="F2" s="11">
        <f t="shared" ref="F2:F7" si="0">(-0.35*C2)+D2</f>
        <v>126.85929366287414</v>
      </c>
      <c r="G2" s="11">
        <f t="shared" ref="G2:G7" si="1">(-0.35*C2)+E2</f>
        <v>5.9475624695284148</v>
      </c>
      <c r="R2" s="26" t="s">
        <v>24</v>
      </c>
      <c r="S2" s="27"/>
      <c r="U2" s="31" t="s">
        <v>35</v>
      </c>
      <c r="V2" s="32"/>
      <c r="W2" s="32"/>
      <c r="X2" s="32"/>
      <c r="Y2" s="32"/>
      <c r="Z2" s="32"/>
      <c r="AA2" s="33"/>
    </row>
    <row r="3" spans="1:27" ht="15" customHeight="1">
      <c r="A3" s="56"/>
      <c r="B3" s="6">
        <v>2</v>
      </c>
      <c r="C3" s="11">
        <f>W6*SIN(W5)</f>
        <v>-96.216113015380728</v>
      </c>
      <c r="D3" s="11">
        <f>W6*COS(W5)</f>
        <v>75.172266137262895</v>
      </c>
      <c r="E3" s="11">
        <v>0</v>
      </c>
      <c r="F3" s="11">
        <f t="shared" si="0"/>
        <v>108.84790569264615</v>
      </c>
      <c r="G3" s="11">
        <f t="shared" si="1"/>
        <v>33.675639555383249</v>
      </c>
      <c r="R3" s="12" t="s">
        <v>25</v>
      </c>
      <c r="S3" s="10">
        <v>6</v>
      </c>
      <c r="U3" s="3"/>
      <c r="V3" s="4">
        <v>1</v>
      </c>
      <c r="W3" s="4">
        <v>2</v>
      </c>
      <c r="X3" s="4">
        <v>3</v>
      </c>
      <c r="Y3" s="4">
        <v>4</v>
      </c>
      <c r="Z3" s="4">
        <v>5</v>
      </c>
      <c r="AA3" s="4">
        <v>6</v>
      </c>
    </row>
    <row r="4" spans="1:27" ht="15" customHeight="1">
      <c r="A4" s="56"/>
      <c r="B4" s="6">
        <v>3</v>
      </c>
      <c r="C4" s="11">
        <f>X6*SIN(X5)</f>
        <v>-96.21611301538077</v>
      </c>
      <c r="D4" s="11">
        <f>X6*COS(X5)</f>
        <v>-75.172266137262852</v>
      </c>
      <c r="E4" s="11">
        <v>0</v>
      </c>
      <c r="F4" s="11">
        <f t="shared" si="0"/>
        <v>-41.496626581879582</v>
      </c>
      <c r="G4" s="11">
        <f t="shared" si="1"/>
        <v>33.67563955538327</v>
      </c>
      <c r="R4" s="12" t="s">
        <v>26</v>
      </c>
      <c r="S4" s="10">
        <v>150</v>
      </c>
      <c r="U4" s="8" t="s">
        <v>49</v>
      </c>
      <c r="V4" s="10">
        <v>352</v>
      </c>
      <c r="W4" s="10">
        <v>308</v>
      </c>
      <c r="X4" s="10">
        <v>232</v>
      </c>
      <c r="Y4" s="10">
        <v>188</v>
      </c>
      <c r="Z4" s="10">
        <v>112</v>
      </c>
      <c r="AA4" s="10">
        <v>68</v>
      </c>
    </row>
    <row r="5" spans="1:27" ht="15" customHeight="1">
      <c r="A5" s="56"/>
      <c r="B5" s="6">
        <v>4</v>
      </c>
      <c r="C5" s="11">
        <f>Y6*SIN(Y5)</f>
        <v>-16.993035627224</v>
      </c>
      <c r="D5" s="11">
        <f>Y6*COS(Y5)</f>
        <v>-120.91173119334572</v>
      </c>
      <c r="E5" s="11">
        <v>0</v>
      </c>
      <c r="F5" s="11">
        <f t="shared" si="0"/>
        <v>-114.96416872381732</v>
      </c>
      <c r="G5" s="11">
        <f t="shared" si="1"/>
        <v>5.9475624695283997</v>
      </c>
      <c r="R5" s="12" t="s">
        <v>27</v>
      </c>
      <c r="S5" s="10">
        <v>600</v>
      </c>
      <c r="U5" s="8" t="s">
        <v>21</v>
      </c>
      <c r="V5" s="11">
        <f>RADIANS(V4)</f>
        <v>6.1435589670200397</v>
      </c>
      <c r="W5" s="11">
        <f t="shared" ref="W5:AA5" si="2">RADIANS(W4)</f>
        <v>5.3756140961425354</v>
      </c>
      <c r="X5" s="11">
        <f t="shared" si="2"/>
        <v>4.0491638646268449</v>
      </c>
      <c r="Y5" s="11">
        <f t="shared" si="2"/>
        <v>3.2812189937493397</v>
      </c>
      <c r="Z5" s="11">
        <f t="shared" si="2"/>
        <v>1.9547687622336491</v>
      </c>
      <c r="AA5" s="11">
        <f t="shared" si="2"/>
        <v>1.1868238913561442</v>
      </c>
    </row>
    <row r="6" spans="1:27" ht="15" customHeight="1">
      <c r="A6" s="56"/>
      <c r="B6" s="6">
        <v>5</v>
      </c>
      <c r="C6" s="11">
        <f>Z6*SIN(Z5)</f>
        <v>113.20914864260475</v>
      </c>
      <c r="D6" s="11">
        <f>Z6*COS(Z5)</f>
        <v>-45.739465056082864</v>
      </c>
      <c r="E6" s="11">
        <v>0</v>
      </c>
      <c r="F6" s="11">
        <f t="shared" si="0"/>
        <v>-85.362667080994527</v>
      </c>
      <c r="G6" s="11">
        <f t="shared" si="1"/>
        <v>-39.623202024911656</v>
      </c>
      <c r="R6" s="12" t="s">
        <v>28</v>
      </c>
      <c r="S6" s="10">
        <v>122.1</v>
      </c>
      <c r="U6" s="8" t="s">
        <v>5</v>
      </c>
      <c r="V6" s="10">
        <f>$S$6</f>
        <v>122.1</v>
      </c>
      <c r="W6" s="10">
        <f>$S$6</f>
        <v>122.1</v>
      </c>
      <c r="X6" s="10">
        <f>$S$6</f>
        <v>122.1</v>
      </c>
      <c r="Y6" s="10">
        <f>$S$6</f>
        <v>122.1</v>
      </c>
      <c r="Z6" s="10">
        <f>$S$6</f>
        <v>122.1</v>
      </c>
      <c r="AA6" s="10">
        <f>$S$6</f>
        <v>122.1</v>
      </c>
    </row>
    <row r="7" spans="1:27" ht="15" customHeight="1">
      <c r="A7" s="56"/>
      <c r="B7" s="6">
        <v>6</v>
      </c>
      <c r="C7" s="11">
        <f>AA6*SIN(AA5)</f>
        <v>113.20914864260475</v>
      </c>
      <c r="D7" s="11">
        <f>AA6*COS(AA5)</f>
        <v>45.73946505608285</v>
      </c>
      <c r="E7" s="11">
        <v>0</v>
      </c>
      <c r="F7" s="11">
        <f t="shared" si="0"/>
        <v>6.1162630311711936</v>
      </c>
      <c r="G7" s="11">
        <f t="shared" si="1"/>
        <v>-39.623202024911656</v>
      </c>
      <c r="R7" s="12" t="s">
        <v>29</v>
      </c>
      <c r="S7" s="10">
        <v>140.5</v>
      </c>
      <c r="U7" s="8" t="s">
        <v>48</v>
      </c>
      <c r="V7" s="10">
        <v>26.9</v>
      </c>
      <c r="W7" s="10">
        <v>273.10000000000002</v>
      </c>
      <c r="X7" s="10">
        <v>266.89999999999998</v>
      </c>
      <c r="Y7" s="10">
        <v>153.1</v>
      </c>
      <c r="Z7" s="10">
        <v>146.9</v>
      </c>
      <c r="AA7" s="10">
        <v>33.1</v>
      </c>
    </row>
    <row r="8" spans="1:27" ht="15" customHeight="1">
      <c r="A8" s="57"/>
      <c r="B8" s="6" t="s">
        <v>39</v>
      </c>
      <c r="C8" s="1"/>
      <c r="D8" s="1"/>
      <c r="E8" s="1"/>
      <c r="F8" s="1">
        <f>(-0.35*C2)+D2</f>
        <v>126.85929366287414</v>
      </c>
      <c r="G8" s="1">
        <f>(-0.35*C2)+E2</f>
        <v>5.9475624695284148</v>
      </c>
      <c r="R8" s="12" t="s">
        <v>30</v>
      </c>
      <c r="S8" s="10">
        <v>40</v>
      </c>
      <c r="U8" s="8" t="s">
        <v>23</v>
      </c>
      <c r="V8" s="11">
        <f>RADIANS(V7)</f>
        <v>0.46949356878647464</v>
      </c>
      <c r="W8" s="11">
        <f t="shared" ref="W8:AA8" si="3">RADIANS(W7)</f>
        <v>4.7664941871965141</v>
      </c>
      <c r="X8" s="11">
        <f t="shared" si="3"/>
        <v>4.6582837735728653</v>
      </c>
      <c r="Y8" s="11">
        <f t="shared" si="3"/>
        <v>2.6720990848033184</v>
      </c>
      <c r="Z8" s="11">
        <f t="shared" si="3"/>
        <v>2.56388867117967</v>
      </c>
      <c r="AA8" s="11">
        <f t="shared" si="3"/>
        <v>0.57770398241012311</v>
      </c>
    </row>
    <row r="9" spans="1:27" ht="15" customHeight="1">
      <c r="A9" s="19"/>
      <c r="B9" s="19"/>
      <c r="C9" s="20"/>
      <c r="D9" s="20"/>
      <c r="E9" s="20"/>
      <c r="F9" s="20"/>
      <c r="G9" s="20"/>
      <c r="R9" s="12" t="s">
        <v>31</v>
      </c>
      <c r="S9" s="10">
        <v>162.80000000000001</v>
      </c>
      <c r="U9" s="8" t="s">
        <v>6</v>
      </c>
      <c r="V9" s="10">
        <f>$S$7</f>
        <v>140.5</v>
      </c>
      <c r="W9" s="10">
        <f>$S$7</f>
        <v>140.5</v>
      </c>
      <c r="X9" s="10">
        <f>$S$7</f>
        <v>140.5</v>
      </c>
      <c r="Y9" s="10">
        <f>$S$7</f>
        <v>140.5</v>
      </c>
      <c r="Z9" s="10">
        <f>$S$7</f>
        <v>140.5</v>
      </c>
      <c r="AA9" s="10">
        <f>$S$7</f>
        <v>140.5</v>
      </c>
    </row>
    <row r="10" spans="1:27" ht="15" customHeight="1">
      <c r="A10" s="37" t="s">
        <v>10</v>
      </c>
      <c r="B10" s="6">
        <v>1</v>
      </c>
      <c r="C10" s="11">
        <f>V9*SIN(V8)</f>
        <v>63.567076658305467</v>
      </c>
      <c r="D10" s="11">
        <f>V9*COS(V8)</f>
        <v>125.29755290953258</v>
      </c>
      <c r="E10" s="11">
        <v>0</v>
      </c>
      <c r="F10" s="11">
        <f>(-0.35*C10)+D10</f>
        <v>103.04907607912567</v>
      </c>
      <c r="G10" s="11">
        <f>(-0.35*C10)+E10</f>
        <v>-22.248476830406911</v>
      </c>
      <c r="R10" s="12" t="s">
        <v>32</v>
      </c>
      <c r="S10" s="10">
        <v>179</v>
      </c>
      <c r="U10" s="9" t="s">
        <v>20</v>
      </c>
      <c r="V10" s="11">
        <v>150</v>
      </c>
      <c r="W10" s="11">
        <v>90</v>
      </c>
      <c r="X10" s="11">
        <v>-90</v>
      </c>
      <c r="Y10" s="11">
        <v>-150</v>
      </c>
      <c r="Z10" s="11">
        <v>30</v>
      </c>
      <c r="AA10" s="11">
        <v>-30</v>
      </c>
    </row>
    <row r="11" spans="1:27" ht="15" customHeight="1">
      <c r="A11" s="37"/>
      <c r="B11" s="6"/>
      <c r="C11" s="11"/>
      <c r="D11" s="11"/>
      <c r="E11" s="11"/>
      <c r="F11" s="11"/>
      <c r="G11" s="11"/>
      <c r="R11" s="12" t="s">
        <v>33</v>
      </c>
      <c r="S11" s="10">
        <v>144</v>
      </c>
      <c r="U11" s="9" t="s">
        <v>22</v>
      </c>
      <c r="V11" s="11">
        <f>RADIANS(V10)</f>
        <v>2.6179938779914944</v>
      </c>
      <c r="W11" s="11">
        <f t="shared" ref="W11:AA11" si="4">RADIANS(W10)</f>
        <v>1.5707963267948966</v>
      </c>
      <c r="X11" s="11">
        <f t="shared" si="4"/>
        <v>-1.5707963267948966</v>
      </c>
      <c r="Y11" s="11">
        <f t="shared" si="4"/>
        <v>-2.6179938779914944</v>
      </c>
      <c r="Z11" s="11">
        <f t="shared" si="4"/>
        <v>0.52359877559829882</v>
      </c>
      <c r="AA11" s="11">
        <f t="shared" si="4"/>
        <v>-0.52359877559829882</v>
      </c>
    </row>
    <row r="12" spans="1:27" ht="15" customHeight="1">
      <c r="A12" s="37"/>
      <c r="B12" s="6">
        <v>2</v>
      </c>
      <c r="C12" s="11">
        <f>W9*SIN(W8)</f>
        <v>-140.29440218083275</v>
      </c>
      <c r="D12" s="11">
        <f>W9*COS(W8)</f>
        <v>7.5980732243609284</v>
      </c>
      <c r="E12" s="11">
        <v>0</v>
      </c>
      <c r="F12" s="11">
        <f>(-0.35*C12)+D12</f>
        <v>56.701113987652391</v>
      </c>
      <c r="G12" s="11">
        <f>(-0.35*C12)+E12</f>
        <v>49.10304076329146</v>
      </c>
      <c r="R12" s="48" t="s">
        <v>52</v>
      </c>
      <c r="S12" s="49">
        <v>-90</v>
      </c>
    </row>
    <row r="13" spans="1:27" ht="15" customHeight="1">
      <c r="A13" s="37"/>
      <c r="B13" s="6"/>
      <c r="C13" s="11"/>
      <c r="D13" s="11"/>
      <c r="E13" s="11"/>
      <c r="F13" s="11"/>
      <c r="G13" s="11"/>
      <c r="R13" s="48" t="s">
        <v>53</v>
      </c>
      <c r="S13" s="49">
        <v>90</v>
      </c>
      <c r="U13" s="25" t="s">
        <v>0</v>
      </c>
      <c r="V13" s="25"/>
      <c r="X13" s="25" t="s">
        <v>1</v>
      </c>
      <c r="Y13" s="25"/>
      <c r="Z13" s="25"/>
    </row>
    <row r="14" spans="1:27" ht="15" customHeight="1">
      <c r="A14" s="37"/>
      <c r="B14" s="6">
        <v>3</v>
      </c>
      <c r="C14" s="11">
        <f>X9*SIN(X8)</f>
        <v>-140.29440218083275</v>
      </c>
      <c r="D14" s="11">
        <f>X9*COS(X8)</f>
        <v>-7.5980732243609808</v>
      </c>
      <c r="E14" s="11">
        <v>0</v>
      </c>
      <c r="F14" s="11">
        <f>(-0.35*C14)+D14</f>
        <v>41.50496753893048</v>
      </c>
      <c r="G14" s="11">
        <f>(-0.35*C14)+E14</f>
        <v>49.10304076329146</v>
      </c>
      <c r="R14" s="34" t="s">
        <v>36</v>
      </c>
      <c r="S14" s="35"/>
      <c r="U14" s="28">
        <f>S19+J57</f>
        <v>1</v>
      </c>
      <c r="V14" s="29"/>
      <c r="X14" s="15">
        <f>COS(K64)*COS(K63)</f>
        <v>1</v>
      </c>
      <c r="Y14" s="15">
        <f>-SIN(K64)*COS(K62)+COS(K64)*SIN(K63)*SIN(K62)</f>
        <v>0</v>
      </c>
      <c r="Z14" s="15">
        <f>SIN(K64)*COS(K62)+COS(K64)*SIN(K63)*COS(K62)</f>
        <v>0</v>
      </c>
    </row>
    <row r="15" spans="1:27" ht="15" customHeight="1">
      <c r="A15" s="37"/>
      <c r="B15" s="6"/>
      <c r="C15" s="11"/>
      <c r="D15" s="11"/>
      <c r="E15" s="11"/>
      <c r="F15" s="11"/>
      <c r="G15" s="11"/>
      <c r="R15" s="7" t="s">
        <v>2</v>
      </c>
      <c r="S15" s="5">
        <v>0</v>
      </c>
      <c r="U15" s="24">
        <f>S20+J58</f>
        <v>0</v>
      </c>
      <c r="V15" s="30"/>
      <c r="X15" s="5">
        <f>SIN(K64)*COS(K63)</f>
        <v>0</v>
      </c>
      <c r="Y15" s="5">
        <f>COS(K64)*COS(K62)+SIN(K64)*SIN(K63)*SIN(K62)</f>
        <v>1</v>
      </c>
      <c r="Z15" s="5">
        <f>-COS(K64)*SIN(K62)+SIN(K64)*SIN(K63)*COS(K62)</f>
        <v>0</v>
      </c>
    </row>
    <row r="16" spans="1:27" ht="15" customHeight="1">
      <c r="A16" s="37"/>
      <c r="B16" s="6">
        <v>4</v>
      </c>
      <c r="C16" s="11">
        <f>Y9*SIN(Y8)</f>
        <v>63.567076658305503</v>
      </c>
      <c r="D16" s="11">
        <f>Y9*COS(Y8)</f>
        <v>-125.29755290953256</v>
      </c>
      <c r="E16" s="11">
        <v>0</v>
      </c>
      <c r="F16" s="11">
        <f>(-0.35*C16)+D16</f>
        <v>-147.54602973993948</v>
      </c>
      <c r="G16" s="11">
        <f>(-0.35*C16)+E16</f>
        <v>-22.248476830406926</v>
      </c>
      <c r="R16" s="7" t="s">
        <v>3</v>
      </c>
      <c r="S16" s="5">
        <v>0</v>
      </c>
      <c r="U16" s="28">
        <f>S21+J59</f>
        <v>144</v>
      </c>
      <c r="V16" s="28"/>
      <c r="X16" s="5">
        <f>-SIN(K63)</f>
        <v>0</v>
      </c>
      <c r="Y16" s="16">
        <f>COS(K63)*SIN(K62)</f>
        <v>0</v>
      </c>
      <c r="Z16" s="16">
        <f>COS(K63)*COS(K62)</f>
        <v>1</v>
      </c>
    </row>
    <row r="17" spans="1:27" ht="15" customHeight="1">
      <c r="A17" s="37"/>
      <c r="B17" s="6"/>
      <c r="C17" s="11"/>
      <c r="D17" s="11"/>
      <c r="E17" s="11"/>
      <c r="F17" s="11"/>
      <c r="G17" s="11"/>
      <c r="R17" s="7" t="s">
        <v>4</v>
      </c>
      <c r="S17" s="5">
        <v>0</v>
      </c>
    </row>
    <row r="18" spans="1:27" ht="15" customHeight="1">
      <c r="A18" s="37"/>
      <c r="B18" s="6">
        <v>5</v>
      </c>
      <c r="C18" s="11">
        <f>Z9*SIN(Z8)</f>
        <v>76.727325522527309</v>
      </c>
      <c r="D18" s="11">
        <f>Z9*COS(Z8)</f>
        <v>-117.69947968517164</v>
      </c>
      <c r="E18" s="11">
        <v>0</v>
      </c>
      <c r="F18" s="11">
        <f>(-0.35*C18)+D18</f>
        <v>-144.5540436180562</v>
      </c>
      <c r="G18" s="11">
        <f>(-0.35*C18)+E18</f>
        <v>-26.854563932884556</v>
      </c>
      <c r="R18" s="34" t="s">
        <v>37</v>
      </c>
      <c r="S18" s="35"/>
    </row>
    <row r="19" spans="1:27" ht="15" customHeight="1">
      <c r="A19" s="37"/>
      <c r="B19" s="6"/>
      <c r="C19" s="11"/>
      <c r="D19" s="11"/>
      <c r="E19" s="11"/>
      <c r="F19" s="11"/>
      <c r="G19" s="11"/>
      <c r="R19" s="7" t="s">
        <v>2</v>
      </c>
      <c r="S19" s="5">
        <v>0</v>
      </c>
    </row>
    <row r="20" spans="1:27" ht="15" customHeight="1">
      <c r="A20" s="37"/>
      <c r="B20" s="6">
        <v>6</v>
      </c>
      <c r="C20" s="11">
        <f>AA9*SIN(AA8)</f>
        <v>76.727325522527281</v>
      </c>
      <c r="D20" s="11">
        <f>AA9*COS(AA8)</f>
        <v>117.69947968517164</v>
      </c>
      <c r="E20" s="11">
        <v>0</v>
      </c>
      <c r="F20" s="11">
        <f>(-0.35*C20)+D20</f>
        <v>90.844915752287093</v>
      </c>
      <c r="G20" s="11">
        <f>(-0.35*C20)+E20</f>
        <v>-26.854563932884545</v>
      </c>
      <c r="R20" s="7" t="s">
        <v>3</v>
      </c>
      <c r="S20" s="5">
        <v>0</v>
      </c>
    </row>
    <row r="21" spans="1:27" ht="15" customHeight="1">
      <c r="A21" s="19"/>
      <c r="B21" s="19"/>
      <c r="C21" s="20"/>
      <c r="D21" s="20"/>
      <c r="E21" s="20"/>
      <c r="F21" s="20"/>
      <c r="G21" s="20"/>
      <c r="R21" s="7" t="s">
        <v>4</v>
      </c>
      <c r="S21" s="10">
        <f>S11</f>
        <v>144</v>
      </c>
    </row>
    <row r="22" spans="1:27" ht="15" customHeight="1">
      <c r="A22" s="58" t="s">
        <v>11</v>
      </c>
      <c r="B22" s="6">
        <v>1</v>
      </c>
      <c r="C22" s="11">
        <f>U$14+(X$14*$C10+Y$14*$D10+Z$14*$E10)</f>
        <v>64.567076658305467</v>
      </c>
      <c r="D22" s="11">
        <f>U$15+(X$15*$C10+Y$15*$D10+Z$15*$E10)</f>
        <v>125.29755290953258</v>
      </c>
      <c r="E22" s="11">
        <f>U$16+(X$16*$C10+Y$16*$D10+Z$16*$E10)</f>
        <v>144</v>
      </c>
      <c r="F22" s="11">
        <f>(-0.35*C22)+D22</f>
        <v>102.69907607912567</v>
      </c>
      <c r="G22" s="11">
        <f>(-0.35*C22)+E22</f>
        <v>121.40152316959309</v>
      </c>
    </row>
    <row r="23" spans="1:27" ht="15" customHeight="1">
      <c r="A23" s="59"/>
      <c r="B23" s="6">
        <v>2</v>
      </c>
      <c r="C23" s="11">
        <f>U$14+(X$14*$C12+Y$14*$D12+Z$14*$E12)</f>
        <v>-139.29440218083275</v>
      </c>
      <c r="D23" s="11">
        <f>U$15+(X$15*$C12+Y$15*$D12+Z$15*$E12)</f>
        <v>7.5980732243609284</v>
      </c>
      <c r="E23" s="11">
        <f>U$16+(X$16*$C12+Y$16*$D12+Z$16*$E12)</f>
        <v>144</v>
      </c>
      <c r="F23" s="11">
        <f t="shared" ref="F23:F27" si="5">(-0.35*C23)+D23</f>
        <v>56.35111398765239</v>
      </c>
      <c r="G23" s="11">
        <f t="shared" ref="G23:G27" si="6">(-0.35*C23)+E23</f>
        <v>192.75304076329147</v>
      </c>
      <c r="R23" s="38" t="s">
        <v>34</v>
      </c>
      <c r="S23" s="25">
        <v>1</v>
      </c>
      <c r="T23" s="11">
        <f>(POWER(C37-C38,2)+POWER(D37-D38,2)+POWER(E37-E38,2))-(POWER($S$10,2)-POWER($S$8,2))</f>
        <v>-3033.7126518456425</v>
      </c>
      <c r="U23" s="38" t="s">
        <v>54</v>
      </c>
      <c r="V23" s="1"/>
      <c r="W23" s="25" t="s">
        <v>2</v>
      </c>
      <c r="X23" s="25" t="s">
        <v>3</v>
      </c>
      <c r="Y23" s="25" t="s">
        <v>4</v>
      </c>
      <c r="Z23" s="25" t="s">
        <v>8</v>
      </c>
      <c r="AA23" s="25" t="s">
        <v>9</v>
      </c>
    </row>
    <row r="24" spans="1:27" ht="15" customHeight="1">
      <c r="A24" s="59"/>
      <c r="B24" s="6">
        <v>3</v>
      </c>
      <c r="C24" s="11">
        <f>U$14+(X$14*$C14+Y$14*$D14+Z$14*$E14)</f>
        <v>-139.29440218083275</v>
      </c>
      <c r="D24" s="11">
        <f>U$15+(X$15*$C14+Y$15*$D14+Z$15*$E14)</f>
        <v>-7.5980732243609808</v>
      </c>
      <c r="E24" s="11">
        <f>U$16+(X$16*$C14+Y$16*$D14+Z$16*$E14)</f>
        <v>144</v>
      </c>
      <c r="F24" s="11">
        <f t="shared" si="5"/>
        <v>41.154967538930478</v>
      </c>
      <c r="G24" s="11">
        <f t="shared" si="6"/>
        <v>192.75304076329147</v>
      </c>
      <c r="R24" s="39"/>
      <c r="S24" s="25">
        <v>2</v>
      </c>
      <c r="T24" s="11">
        <f>(POWER(C40-C41,2)+POWER(D40-D41,2)+POWER(E40-E41,2))-(POWER($S$10,2)-POWER($S$8,2))</f>
        <v>-3282.9894547476106</v>
      </c>
      <c r="U24" s="39"/>
      <c r="V24" s="25">
        <v>1</v>
      </c>
      <c r="W24" s="11">
        <f>C62</f>
        <v>-50.919043519710073</v>
      </c>
      <c r="X24" s="11">
        <f>D62</f>
        <v>140.49892098260187</v>
      </c>
      <c r="Y24" s="11">
        <f>E62</f>
        <v>8.0850469781340699</v>
      </c>
      <c r="Z24" s="11">
        <f>F62</f>
        <v>158.32058621450039</v>
      </c>
      <c r="AA24" s="11">
        <f>G62</f>
        <v>25.906712210032595</v>
      </c>
    </row>
    <row r="25" spans="1:27" ht="15" customHeight="1">
      <c r="A25" s="59"/>
      <c r="B25" s="6">
        <v>4</v>
      </c>
      <c r="C25" s="11">
        <f>U$14+(X$14*$C16+Y$14*$D16+Z$14*$E16)</f>
        <v>64.567076658305496</v>
      </c>
      <c r="D25" s="11">
        <f>U$15+(X$15*$C16+Y$15*$D16+Z$15*$E16)</f>
        <v>-125.29755290953256</v>
      </c>
      <c r="E25" s="11">
        <f>U$16+(X$16*$C16+Y$16*$D16+Z$16*$E16)</f>
        <v>144</v>
      </c>
      <c r="F25" s="11">
        <f t="shared" si="5"/>
        <v>-147.89602973993948</v>
      </c>
      <c r="G25" s="11">
        <f t="shared" si="6"/>
        <v>121.40152316959308</v>
      </c>
      <c r="R25" s="39"/>
      <c r="S25" s="25">
        <v>3</v>
      </c>
      <c r="T25" s="11">
        <f>(POWER(C43-C44,2)+POWER(D43-D44,2)+POWER(E43-E44,2))-(POWER($S$10,2)-POWER($S$8,2))</f>
        <v>-3282.9894547476251</v>
      </c>
      <c r="U25" s="39"/>
      <c r="V25" s="25"/>
      <c r="W25" s="11">
        <f>C22</f>
        <v>64.567076658305467</v>
      </c>
      <c r="X25" s="11">
        <f>D22</f>
        <v>125.29755290953258</v>
      </c>
      <c r="Y25" s="11">
        <f>E22</f>
        <v>144</v>
      </c>
      <c r="Z25" s="11">
        <f>F22</f>
        <v>102.69907607912567</v>
      </c>
      <c r="AA25" s="11">
        <f>G22</f>
        <v>121.40152316959309</v>
      </c>
    </row>
    <row r="26" spans="1:27" ht="15" customHeight="1">
      <c r="A26" s="59"/>
      <c r="B26" s="6">
        <v>5</v>
      </c>
      <c r="C26" s="11">
        <f>U$14+(X$14*$C18+Y$14*$D18+Z$14*$E18)</f>
        <v>77.727325522527309</v>
      </c>
      <c r="D26" s="11">
        <f>U$15+(X$15*$C18+Y$15*$D18+Z$15*$E18)</f>
        <v>-117.69947968517164</v>
      </c>
      <c r="E26" s="11">
        <f>U$16+(X$16*$C18+Y$16*$D18+Z$16*$E18)</f>
        <v>144</v>
      </c>
      <c r="F26" s="11">
        <f t="shared" si="5"/>
        <v>-144.90404361805619</v>
      </c>
      <c r="G26" s="11">
        <f t="shared" si="6"/>
        <v>116.79543606711545</v>
      </c>
      <c r="R26" s="39"/>
      <c r="S26" s="25">
        <v>4</v>
      </c>
      <c r="T26" s="11">
        <f>(POWER(C46-C47,2)+POWER(D46-D47,2)+POWER(E46-E47,2))-(POWER($S$10,2)-POWER($S$8,2))</f>
        <v>-3033.7126518456425</v>
      </c>
      <c r="U26" s="39"/>
      <c r="V26" s="25"/>
      <c r="W26" s="11"/>
      <c r="X26" s="11"/>
      <c r="Y26" s="11"/>
      <c r="Z26" s="11"/>
      <c r="AA26" s="11"/>
    </row>
    <row r="27" spans="1:27" ht="15" customHeight="1">
      <c r="A27" s="59"/>
      <c r="B27" s="6">
        <v>6</v>
      </c>
      <c r="C27" s="11">
        <f>U$14+(X$14*$C20+Y$14*$D20+Z$14*$E20)</f>
        <v>77.727325522527281</v>
      </c>
      <c r="D27" s="11">
        <f>U$15+(X$15*$C20+Y$15*$D20+Z$15*$E20)</f>
        <v>117.69947968517164</v>
      </c>
      <c r="E27" s="11">
        <f>U$16+(X$16*$C20+Y$16*$D20+Z$16*$E20)</f>
        <v>144</v>
      </c>
      <c r="F27" s="11">
        <f t="shared" si="5"/>
        <v>90.494915752287085</v>
      </c>
      <c r="G27" s="11">
        <f t="shared" si="6"/>
        <v>116.79543606711545</v>
      </c>
      <c r="R27" s="39"/>
      <c r="S27" s="25">
        <v>5</v>
      </c>
      <c r="T27" s="11">
        <f>(POWER(C49-C50,2)+POWER(D49-D50,2)+POWER(E49-E50,2))-(POWER($S$10,2)-POWER($S$8,2))</f>
        <v>-3267.7965226568704</v>
      </c>
      <c r="U27" s="39"/>
      <c r="V27" s="25">
        <v>2</v>
      </c>
      <c r="W27" s="11">
        <f>C65</f>
        <v>-96.216113015380728</v>
      </c>
      <c r="X27" s="11">
        <f>D65</f>
        <v>114.54153441352089</v>
      </c>
      <c r="Y27" s="11">
        <f>E65</f>
        <v>7.0753597358739135</v>
      </c>
      <c r="Z27" s="11">
        <f>F65</f>
        <v>148.21717396890415</v>
      </c>
      <c r="AA27" s="11">
        <f>G65</f>
        <v>40.750999291257159</v>
      </c>
    </row>
    <row r="28" spans="1:27" ht="15" customHeight="1">
      <c r="A28" s="60"/>
      <c r="B28" s="6" t="s">
        <v>39</v>
      </c>
      <c r="C28" s="1"/>
      <c r="D28" s="1"/>
      <c r="E28" s="1"/>
      <c r="F28" s="11">
        <f>(-0.35*C22)+D22</f>
        <v>102.69907607912567</v>
      </c>
      <c r="G28" s="11">
        <f>(-0.35*C22)+E22</f>
        <v>121.40152316959309</v>
      </c>
      <c r="R28" s="40"/>
      <c r="S28" s="25">
        <v>6</v>
      </c>
      <c r="T28" s="11">
        <f>(POWER(C52-C53,2)+POWER(D52-D53,2)+POWER(E52-E53,2))-(POWER($S$10,2)-POWER($S$8,2))</f>
        <v>-3267.7965226568631</v>
      </c>
      <c r="U28" s="39"/>
      <c r="V28" s="25"/>
      <c r="W28" s="11">
        <f>C23</f>
        <v>-139.29440218083275</v>
      </c>
      <c r="X28" s="11">
        <f>D23</f>
        <v>7.5980732243609284</v>
      </c>
      <c r="Y28" s="11">
        <f>E23</f>
        <v>144</v>
      </c>
      <c r="Z28" s="11">
        <f>F23</f>
        <v>56.35111398765239</v>
      </c>
      <c r="AA28" s="11">
        <f>G23</f>
        <v>192.75304076329147</v>
      </c>
    </row>
    <row r="29" spans="1:27" ht="15" customHeight="1">
      <c r="A29" s="19"/>
      <c r="B29" s="19"/>
      <c r="C29" s="20"/>
      <c r="D29" s="20"/>
      <c r="E29" s="20"/>
      <c r="F29" s="21"/>
      <c r="G29" s="21"/>
      <c r="I29" s="17"/>
      <c r="J29" s="17"/>
      <c r="R29" s="38" t="s">
        <v>40</v>
      </c>
      <c r="S29" s="25">
        <v>1</v>
      </c>
      <c r="T29" s="11">
        <f>2*$S$8*(E22-E2)</f>
        <v>11520</v>
      </c>
      <c r="U29" s="39"/>
      <c r="V29" s="25"/>
      <c r="W29" s="11"/>
      <c r="X29" s="11"/>
      <c r="Y29" s="11"/>
      <c r="Z29" s="11"/>
      <c r="AA29" s="11"/>
    </row>
    <row r="30" spans="1:27" ht="15" customHeight="1">
      <c r="A30" s="38" t="s">
        <v>50</v>
      </c>
      <c r="B30" s="6">
        <v>1</v>
      </c>
      <c r="C30" s="42">
        <f>SQRT(POWER($C22-$C2,2)+POWER($D22-$D2,2)+POWER($E22-$E2,2))</f>
        <v>165.55146434916955</v>
      </c>
      <c r="D30" s="43"/>
      <c r="E30" s="43"/>
      <c r="F30" s="43"/>
      <c r="G30" s="44"/>
      <c r="R30" s="39"/>
      <c r="S30" s="25">
        <v>2</v>
      </c>
      <c r="T30" s="11">
        <f>2*$S$8*(E23-E3)</f>
        <v>11520</v>
      </c>
      <c r="U30" s="39"/>
      <c r="V30" s="25">
        <v>3</v>
      </c>
      <c r="W30" s="11">
        <f>C68</f>
        <v>-96.21611301538077</v>
      </c>
      <c r="X30" s="11">
        <f>D68</f>
        <v>-114.54153441352086</v>
      </c>
      <c r="Y30" s="11">
        <f>E68</f>
        <v>7.0753597358738505</v>
      </c>
      <c r="Z30" s="11">
        <f>F68</f>
        <v>-80.865894858137594</v>
      </c>
      <c r="AA30" s="11">
        <f>G68</f>
        <v>40.750999291257124</v>
      </c>
    </row>
    <row r="31" spans="1:27" ht="15" customHeight="1">
      <c r="A31" s="39"/>
      <c r="B31" s="6">
        <v>2</v>
      </c>
      <c r="C31" s="42">
        <f>SQRT(POWER($C23-$C3,2)+POWER($D23-$D3,2)+POWER($E23-$E3,2))</f>
        <v>164.79687662468726</v>
      </c>
      <c r="D31" s="43"/>
      <c r="E31" s="43"/>
      <c r="F31" s="43"/>
      <c r="G31" s="44"/>
      <c r="R31" s="39"/>
      <c r="S31" s="25">
        <v>3</v>
      </c>
      <c r="T31" s="11">
        <f>2*$S$8*(E24-E4)</f>
        <v>11520</v>
      </c>
      <c r="U31" s="39"/>
      <c r="V31" s="25"/>
      <c r="W31" s="11">
        <f>C24</f>
        <v>-139.29440218083275</v>
      </c>
      <c r="X31" s="11">
        <f>D24</f>
        <v>-7.5980732243609808</v>
      </c>
      <c r="Y31" s="11">
        <f>E24</f>
        <v>144</v>
      </c>
      <c r="Z31" s="11">
        <f>F24</f>
        <v>41.154967538930478</v>
      </c>
      <c r="AA31" s="11">
        <f>G24</f>
        <v>192.75304076329147</v>
      </c>
    </row>
    <row r="32" spans="1:27" ht="15" customHeight="1">
      <c r="A32" s="39"/>
      <c r="B32" s="6">
        <v>3</v>
      </c>
      <c r="C32" s="42">
        <f t="shared" ref="C32:C34" si="7">SQRT(POWER($C24-$C4,2)+POWER($D24-$D4,2)+POWER($E24-$E4,2))</f>
        <v>164.7968766246872</v>
      </c>
      <c r="D32" s="43"/>
      <c r="E32" s="43"/>
      <c r="F32" s="43"/>
      <c r="G32" s="44"/>
      <c r="R32" s="39"/>
      <c r="S32" s="25">
        <v>4</v>
      </c>
      <c r="T32" s="11">
        <f>2*$S$8*(E25-E5)</f>
        <v>11520</v>
      </c>
      <c r="U32" s="39"/>
      <c r="V32" s="25"/>
      <c r="W32" s="11"/>
      <c r="X32" s="11"/>
      <c r="Y32" s="11"/>
      <c r="Z32" s="11"/>
      <c r="AA32" s="11"/>
    </row>
    <row r="33" spans="1:27" ht="15" customHeight="1">
      <c r="A33" s="39"/>
      <c r="B33" s="6">
        <v>4</v>
      </c>
      <c r="C33" s="42">
        <f t="shared" si="7"/>
        <v>165.55146434916955</v>
      </c>
      <c r="D33" s="43"/>
      <c r="E33" s="43"/>
      <c r="F33" s="43"/>
      <c r="G33" s="44"/>
      <c r="R33" s="39"/>
      <c r="S33" s="25">
        <v>5</v>
      </c>
      <c r="T33" s="11">
        <f>2*$S$8*(E26-E6)</f>
        <v>11520</v>
      </c>
      <c r="U33" s="39"/>
      <c r="V33" s="25">
        <v>4</v>
      </c>
      <c r="W33" s="11">
        <f>C71</f>
        <v>-50.91904351971003</v>
      </c>
      <c r="X33" s="11">
        <f>D71</f>
        <v>-140.49892098260187</v>
      </c>
      <c r="Y33" s="11">
        <f>E71</f>
        <v>8.0850469781340699</v>
      </c>
      <c r="Z33" s="11">
        <f>F71</f>
        <v>-122.67725575070337</v>
      </c>
      <c r="AA33" s="11">
        <f>G71</f>
        <v>25.90671221003258</v>
      </c>
    </row>
    <row r="34" spans="1:27" ht="15" customHeight="1">
      <c r="A34" s="39"/>
      <c r="B34" s="6">
        <v>5</v>
      </c>
      <c r="C34" s="42">
        <f t="shared" si="7"/>
        <v>164.84296611424804</v>
      </c>
      <c r="D34" s="43"/>
      <c r="E34" s="43"/>
      <c r="F34" s="43"/>
      <c r="G34" s="44"/>
      <c r="R34" s="40"/>
      <c r="S34" s="25">
        <v>6</v>
      </c>
      <c r="T34" s="11">
        <f>2*$S$8*(E27-E7)</f>
        <v>11520</v>
      </c>
      <c r="U34" s="39"/>
      <c r="V34" s="25"/>
      <c r="W34" s="11">
        <f>C25</f>
        <v>64.567076658305496</v>
      </c>
      <c r="X34" s="11">
        <f>D25</f>
        <v>-125.29755290953256</v>
      </c>
      <c r="Y34" s="11">
        <f>E25</f>
        <v>144</v>
      </c>
      <c r="Z34" s="11">
        <f>F25</f>
        <v>-147.89602973993948</v>
      </c>
      <c r="AA34" s="11">
        <f>G25</f>
        <v>121.40152316959308</v>
      </c>
    </row>
    <row r="35" spans="1:27" ht="15" customHeight="1">
      <c r="A35" s="40"/>
      <c r="B35" s="6">
        <v>6</v>
      </c>
      <c r="C35" s="42">
        <f>SQRT(POWER($C27-$C7,2)+POWER($D27-$D7,2)+POWER($E27-$E7,2))</f>
        <v>164.84296611424807</v>
      </c>
      <c r="D35" s="43"/>
      <c r="E35" s="43"/>
      <c r="F35" s="43"/>
      <c r="G35" s="44"/>
      <c r="R35" s="38" t="s">
        <v>41</v>
      </c>
      <c r="S35" s="25">
        <v>1</v>
      </c>
      <c r="T35" s="11">
        <f>2*$S$8*((COS(V$11)*(C22-C2))+(SIN(V$11)*(D22-D2)))</f>
        <v>-5475.2174653349139</v>
      </c>
      <c r="U35" s="39"/>
      <c r="V35" s="25"/>
      <c r="W35" s="11"/>
      <c r="X35" s="11"/>
      <c r="Y35" s="11"/>
      <c r="Z35" s="11"/>
      <c r="AA35" s="11"/>
    </row>
    <row r="36" spans="1:27" ht="15" customHeight="1">
      <c r="A36" s="20"/>
      <c r="B36" s="20"/>
      <c r="C36" s="20"/>
      <c r="D36" s="20"/>
      <c r="E36" s="20"/>
      <c r="F36" s="20"/>
      <c r="G36" s="20"/>
      <c r="R36" s="39"/>
      <c r="S36" s="25">
        <v>2</v>
      </c>
      <c r="T36" s="11">
        <f>2*$S$8*((COS(W$11)*(C23-C3))+(SIN(W$11)*(D23-D3)))</f>
        <v>-5405.9354330321567</v>
      </c>
      <c r="U36" s="39"/>
      <c r="V36" s="25">
        <v>5</v>
      </c>
      <c r="W36" s="11">
        <f>C74</f>
        <v>147.33007142469501</v>
      </c>
      <c r="X36" s="11">
        <f>D74</f>
        <v>-26.03974110284463</v>
      </c>
      <c r="Y36" s="11">
        <f>E74</f>
        <v>6.905324370719061</v>
      </c>
      <c r="Z36" s="11">
        <f>F74</f>
        <v>-77.605266101487871</v>
      </c>
      <c r="AA36" s="11">
        <f>G74</f>
        <v>-44.660200627924183</v>
      </c>
    </row>
    <row r="37" spans="1:27" ht="15" customHeight="1">
      <c r="A37" s="61" t="s">
        <v>51</v>
      </c>
      <c r="B37" s="6">
        <v>1</v>
      </c>
      <c r="C37" s="11">
        <f>C22</f>
        <v>64.567076658305467</v>
      </c>
      <c r="D37" s="11">
        <f>D22</f>
        <v>125.29755290953258</v>
      </c>
      <c r="E37" s="11">
        <f>E22</f>
        <v>144</v>
      </c>
      <c r="F37" s="11">
        <f>F22</f>
        <v>102.69907607912567</v>
      </c>
      <c r="G37" s="11">
        <f>G22</f>
        <v>121.40152316959309</v>
      </c>
      <c r="R37" s="39"/>
      <c r="S37" s="25">
        <v>3</v>
      </c>
      <c r="T37" s="11">
        <f>2*$S$8*((COS(X$11)*(C24-C4))+(SIN(X$11)*(D24-D4)))</f>
        <v>-5405.9354330321503</v>
      </c>
      <c r="U37" s="39"/>
      <c r="V37" s="25"/>
      <c r="W37" s="11">
        <f>C26</f>
        <v>77.727325522527309</v>
      </c>
      <c r="X37" s="11">
        <f>D26</f>
        <v>-117.69947968517164</v>
      </c>
      <c r="Y37" s="11">
        <f>E26</f>
        <v>144</v>
      </c>
      <c r="Z37" s="11">
        <f>F26</f>
        <v>-144.90404361805619</v>
      </c>
      <c r="AA37" s="11">
        <f>G26</f>
        <v>116.79543606711545</v>
      </c>
    </row>
    <row r="38" spans="1:27" ht="15" customHeight="1">
      <c r="A38" s="62"/>
      <c r="B38" s="6"/>
      <c r="C38" s="11">
        <f>C2</f>
        <v>-16.993035627224042</v>
      </c>
      <c r="D38" s="11">
        <f>D2</f>
        <v>120.91173119334572</v>
      </c>
      <c r="E38" s="11">
        <f>E2</f>
        <v>0</v>
      </c>
      <c r="F38" s="11">
        <f>F2</f>
        <v>126.85929366287414</v>
      </c>
      <c r="G38" s="11">
        <f>G2</f>
        <v>5.9475624695284148</v>
      </c>
      <c r="R38" s="39"/>
      <c r="S38" s="25">
        <v>4</v>
      </c>
      <c r="T38" s="11">
        <f>2*$S$8*((COS(Y$11)*(C25-C5))+(SIN(Y$11)*(D25-D5)))</f>
        <v>-5475.2174653349139</v>
      </c>
      <c r="U38" s="39"/>
      <c r="V38" s="25"/>
      <c r="W38" s="11"/>
      <c r="X38" s="11"/>
      <c r="Y38" s="11"/>
      <c r="Z38" s="11"/>
      <c r="AA38" s="11"/>
    </row>
    <row r="39" spans="1:27" ht="15" customHeight="1">
      <c r="A39" s="62"/>
      <c r="B39" s="6"/>
      <c r="C39" s="11"/>
      <c r="D39" s="11"/>
      <c r="E39" s="11"/>
      <c r="F39" s="11"/>
      <c r="G39" s="11"/>
      <c r="R39" s="39"/>
      <c r="S39" s="25">
        <v>5</v>
      </c>
      <c r="T39" s="11">
        <f>2*$S$8*((COS(Z$11)*(C26-C6))+(SIN(Z$11)*(D26-D6)))</f>
        <v>-5336.6534007293976</v>
      </c>
      <c r="U39" s="39"/>
      <c r="V39" s="25">
        <v>6</v>
      </c>
      <c r="W39" s="11">
        <f>C77</f>
        <v>147.33007142469498</v>
      </c>
      <c r="X39" s="11">
        <f>D77</f>
        <v>26.039741102844619</v>
      </c>
      <c r="Y39" s="11">
        <f>E77</f>
        <v>6.9053243707190948</v>
      </c>
      <c r="Z39" s="11">
        <f>F77</f>
        <v>-25.525783895798622</v>
      </c>
      <c r="AA39" s="11">
        <f>G77</f>
        <v>-44.660200627924148</v>
      </c>
    </row>
    <row r="40" spans="1:27" ht="15" customHeight="1">
      <c r="A40" s="62"/>
      <c r="B40" s="6">
        <v>2</v>
      </c>
      <c r="C40" s="11">
        <f>C23</f>
        <v>-139.29440218083275</v>
      </c>
      <c r="D40" s="11">
        <f>D23</f>
        <v>7.5980732243609284</v>
      </c>
      <c r="E40" s="11">
        <f>E23</f>
        <v>144</v>
      </c>
      <c r="F40" s="11">
        <f>F23</f>
        <v>56.35111398765239</v>
      </c>
      <c r="G40" s="11">
        <f>G23</f>
        <v>192.75304076329147</v>
      </c>
      <c r="R40" s="40"/>
      <c r="S40" s="25">
        <v>6</v>
      </c>
      <c r="T40" s="11">
        <f>2*$S$8*((COS(AA$11)*(C27-C7))+(SIN(AA$11)*(D27-D7)))</f>
        <v>-5336.6534007294003</v>
      </c>
      <c r="U40" s="40"/>
      <c r="V40" s="25"/>
      <c r="W40" s="11">
        <f>C27</f>
        <v>77.727325522527281</v>
      </c>
      <c r="X40" s="11">
        <f>D27</f>
        <v>117.69947968517164</v>
      </c>
      <c r="Y40" s="11">
        <f>E27</f>
        <v>144</v>
      </c>
      <c r="Z40" s="11">
        <f>F27</f>
        <v>90.494915752287085</v>
      </c>
      <c r="AA40" s="11">
        <f>G27</f>
        <v>116.79543606711545</v>
      </c>
    </row>
    <row r="41" spans="1:27" ht="15" customHeight="1">
      <c r="A41" s="62"/>
      <c r="B41" s="6"/>
      <c r="C41" s="11">
        <f>C3</f>
        <v>-96.216113015380728</v>
      </c>
      <c r="D41" s="11">
        <f>D3</f>
        <v>75.172266137262895</v>
      </c>
      <c r="E41" s="11">
        <f>E3</f>
        <v>0</v>
      </c>
      <c r="F41" s="11">
        <f>F3</f>
        <v>108.84790569264615</v>
      </c>
      <c r="G41" s="11">
        <f>G3</f>
        <v>33.675639555383249</v>
      </c>
    </row>
    <row r="42" spans="1:27" ht="15" customHeight="1">
      <c r="A42" s="62"/>
      <c r="B42" s="6"/>
      <c r="C42" s="11"/>
      <c r="D42" s="11"/>
      <c r="E42" s="11"/>
      <c r="F42" s="11"/>
      <c r="G42" s="11"/>
      <c r="S42" s="1"/>
      <c r="T42" s="23" t="s">
        <v>2</v>
      </c>
      <c r="U42" s="23" t="s">
        <v>3</v>
      </c>
      <c r="V42" s="23" t="s">
        <v>4</v>
      </c>
      <c r="W42" s="23" t="s">
        <v>8</v>
      </c>
      <c r="X42" s="23" t="s">
        <v>9</v>
      </c>
    </row>
    <row r="43" spans="1:27" ht="15" customHeight="1">
      <c r="A43" s="62"/>
      <c r="B43" s="6">
        <v>3</v>
      </c>
      <c r="C43" s="11">
        <f>C24</f>
        <v>-139.29440218083275</v>
      </c>
      <c r="D43" s="11">
        <f>D24</f>
        <v>-7.5980732243609808</v>
      </c>
      <c r="E43" s="11">
        <f>E24</f>
        <v>144</v>
      </c>
      <c r="F43" s="11">
        <f>F24</f>
        <v>41.154967538930478</v>
      </c>
      <c r="G43" s="11">
        <f>G24</f>
        <v>192.75304076329147</v>
      </c>
      <c r="R43" s="38" t="s">
        <v>34</v>
      </c>
      <c r="S43" s="23">
        <v>1</v>
      </c>
      <c r="T43" s="11">
        <f>C22-C2</f>
        <v>81.560112285529513</v>
      </c>
      <c r="U43" s="11">
        <f>D22-D2</f>
        <v>4.385821716186868</v>
      </c>
      <c r="V43" s="11">
        <f>E22-E2</f>
        <v>144</v>
      </c>
      <c r="W43" s="11">
        <f>(-0.35*T43)+U43</f>
        <v>-24.160217583748459</v>
      </c>
      <c r="X43" s="11">
        <f>(-0.35*T43)+V43</f>
        <v>115.45396070006467</v>
      </c>
    </row>
    <row r="44" spans="1:27" ht="15" customHeight="1">
      <c r="A44" s="62"/>
      <c r="B44" s="6"/>
      <c r="C44" s="11">
        <f>C4</f>
        <v>-96.21611301538077</v>
      </c>
      <c r="D44" s="11">
        <f>D4</f>
        <v>-75.172266137262852</v>
      </c>
      <c r="E44" s="11">
        <f>E4</f>
        <v>0</v>
      </c>
      <c r="F44" s="11">
        <f>F4</f>
        <v>-41.496626581879582</v>
      </c>
      <c r="G44" s="11">
        <f>G4</f>
        <v>33.67563955538327</v>
      </c>
      <c r="R44" s="39"/>
      <c r="S44" s="23">
        <v>2</v>
      </c>
      <c r="T44" s="11">
        <f>C23-C3</f>
        <v>-43.07828916545202</v>
      </c>
      <c r="U44" s="11">
        <f>D23-D3</f>
        <v>-67.574192912901964</v>
      </c>
      <c r="V44" s="11">
        <f>E23-E3</f>
        <v>144</v>
      </c>
      <c r="W44" s="11">
        <f t="shared" ref="W44:W48" si="8">(-0.35*T44)+U44</f>
        <v>-52.496791704993754</v>
      </c>
      <c r="X44" s="11">
        <f t="shared" ref="X44:X48" si="9">(-0.35*T44)+V44</f>
        <v>159.0774012079082</v>
      </c>
    </row>
    <row r="45" spans="1:27" ht="15" customHeight="1">
      <c r="A45" s="62"/>
      <c r="B45" s="6"/>
      <c r="C45" s="11"/>
      <c r="D45" s="11"/>
      <c r="E45" s="11"/>
      <c r="F45" s="11"/>
      <c r="G45" s="11"/>
      <c r="R45" s="39"/>
      <c r="S45" s="23">
        <v>3</v>
      </c>
      <c r="T45" s="11">
        <f>C24-C4</f>
        <v>-43.078289165451977</v>
      </c>
      <c r="U45" s="11">
        <f>D24-D4</f>
        <v>67.574192912901879</v>
      </c>
      <c r="V45" s="11">
        <f>E24-E4</f>
        <v>144</v>
      </c>
      <c r="W45" s="11">
        <f t="shared" si="8"/>
        <v>82.651594120810074</v>
      </c>
      <c r="X45" s="11">
        <f t="shared" si="9"/>
        <v>159.0774012079082</v>
      </c>
    </row>
    <row r="46" spans="1:27" ht="15" customHeight="1">
      <c r="A46" s="62"/>
      <c r="B46" s="6">
        <v>4</v>
      </c>
      <c r="C46" s="11">
        <f>C25</f>
        <v>64.567076658305496</v>
      </c>
      <c r="D46" s="11">
        <f>D25</f>
        <v>-125.29755290953256</v>
      </c>
      <c r="E46" s="11">
        <f>E25</f>
        <v>144</v>
      </c>
      <c r="F46" s="11">
        <f>F25</f>
        <v>-147.89602973993948</v>
      </c>
      <c r="G46" s="11">
        <f>G25</f>
        <v>121.40152316959308</v>
      </c>
      <c r="J46" s="54" t="s">
        <v>42</v>
      </c>
      <c r="K46" s="54" t="s">
        <v>43</v>
      </c>
      <c r="L46" s="54" t="s">
        <v>44</v>
      </c>
      <c r="M46" s="54" t="s">
        <v>45</v>
      </c>
      <c r="N46" s="54" t="s">
        <v>46</v>
      </c>
      <c r="O46" s="54" t="s">
        <v>47</v>
      </c>
      <c r="R46" s="39"/>
      <c r="S46" s="23">
        <v>4</v>
      </c>
      <c r="T46" s="11">
        <f>C25-C5</f>
        <v>81.560112285529499</v>
      </c>
      <c r="U46" s="11">
        <f>D25-D5</f>
        <v>-4.3858217161868396</v>
      </c>
      <c r="V46" s="11">
        <f>E25-E5</f>
        <v>144</v>
      </c>
      <c r="W46" s="11">
        <f t="shared" si="8"/>
        <v>-32.931861016122163</v>
      </c>
      <c r="X46" s="11">
        <f t="shared" si="9"/>
        <v>115.45396070006467</v>
      </c>
    </row>
    <row r="47" spans="1:27" ht="15" customHeight="1">
      <c r="A47" s="62"/>
      <c r="B47" s="6"/>
      <c r="C47" s="11">
        <f>C5</f>
        <v>-16.993035627224</v>
      </c>
      <c r="D47" s="11">
        <f>D5</f>
        <v>-120.91173119334572</v>
      </c>
      <c r="E47" s="11">
        <f>E5</f>
        <v>0</v>
      </c>
      <c r="F47" s="11">
        <f>F5</f>
        <v>-114.96416872381732</v>
      </c>
      <c r="G47" s="11">
        <f>G5</f>
        <v>5.9475624695283997</v>
      </c>
      <c r="J47" s="54"/>
      <c r="K47" s="54"/>
      <c r="L47" s="54"/>
      <c r="M47" s="54"/>
      <c r="N47" s="54"/>
      <c r="O47" s="54"/>
      <c r="R47" s="39"/>
      <c r="S47" s="23">
        <v>5</v>
      </c>
      <c r="T47" s="11">
        <f>C26-C6</f>
        <v>-35.481823120077436</v>
      </c>
      <c r="U47" s="11">
        <f>D26-D6</f>
        <v>-71.960014629088775</v>
      </c>
      <c r="V47" s="11">
        <f>E26-E6</f>
        <v>144</v>
      </c>
      <c r="W47" s="11">
        <f t="shared" si="8"/>
        <v>-59.541376537061673</v>
      </c>
      <c r="X47" s="11">
        <f t="shared" si="9"/>
        <v>156.41863809202709</v>
      </c>
    </row>
    <row r="48" spans="1:27" ht="15" customHeight="1">
      <c r="A48" s="62"/>
      <c r="B48" s="6"/>
      <c r="C48" s="11"/>
      <c r="D48" s="11"/>
      <c r="E48" s="11"/>
      <c r="F48" s="11"/>
      <c r="G48" s="11"/>
      <c r="J48" s="53">
        <v>51</v>
      </c>
      <c r="K48" s="53">
        <v>50</v>
      </c>
      <c r="L48" s="53">
        <v>50</v>
      </c>
      <c r="M48" s="53">
        <v>45</v>
      </c>
      <c r="N48" s="53">
        <v>45</v>
      </c>
      <c r="O48" s="53">
        <v>45</v>
      </c>
      <c r="R48" s="39"/>
      <c r="S48" s="23">
        <v>6</v>
      </c>
      <c r="T48" s="11">
        <f>C27-C7</f>
        <v>-35.481823120077465</v>
      </c>
      <c r="U48" s="11">
        <f>D27-D7</f>
        <v>71.960014629088789</v>
      </c>
      <c r="V48" s="11">
        <f>E27-E7</f>
        <v>144</v>
      </c>
      <c r="W48" s="11">
        <f t="shared" si="8"/>
        <v>84.378652721115898</v>
      </c>
      <c r="X48" s="11">
        <f t="shared" si="9"/>
        <v>156.41863809202712</v>
      </c>
    </row>
    <row r="49" spans="1:24" ht="15" customHeight="1">
      <c r="A49" s="62"/>
      <c r="B49" s="6">
        <v>5</v>
      </c>
      <c r="C49" s="11">
        <f>C26</f>
        <v>77.727325522527309</v>
      </c>
      <c r="D49" s="11">
        <f>D26</f>
        <v>-117.69947968517164</v>
      </c>
      <c r="E49" s="11">
        <f>E26</f>
        <v>144</v>
      </c>
      <c r="F49" s="11">
        <f>F26</f>
        <v>-144.90404361805619</v>
      </c>
      <c r="G49" s="11">
        <f>G26</f>
        <v>116.79543606711545</v>
      </c>
      <c r="J49" s="53"/>
      <c r="K49" s="53"/>
      <c r="L49" s="53"/>
      <c r="M49" s="53"/>
      <c r="N49" s="53"/>
      <c r="O49" s="53"/>
      <c r="R49" s="40"/>
      <c r="S49" s="23" t="s">
        <v>39</v>
      </c>
      <c r="T49" s="1"/>
      <c r="U49" s="1"/>
      <c r="V49" s="1"/>
      <c r="W49" s="11">
        <f>(-0.35*T43)+U43</f>
        <v>-24.160217583748459</v>
      </c>
      <c r="X49" s="11">
        <f>(-0.35*T43)+V43</f>
        <v>115.45396070006467</v>
      </c>
    </row>
    <row r="50" spans="1:24" ht="15" customHeight="1">
      <c r="A50" s="62"/>
      <c r="B50" s="6"/>
      <c r="C50" s="11">
        <f>C6</f>
        <v>113.20914864260475</v>
      </c>
      <c r="D50" s="11">
        <f>D6</f>
        <v>-45.739465056082864</v>
      </c>
      <c r="E50" s="11">
        <f>E6</f>
        <v>0</v>
      </c>
      <c r="F50" s="11">
        <f>F6</f>
        <v>-85.362667080994527</v>
      </c>
      <c r="G50" s="11">
        <f>G6</f>
        <v>-39.623202024911656</v>
      </c>
    </row>
    <row r="51" spans="1:24" ht="15" customHeight="1">
      <c r="A51" s="62"/>
      <c r="B51" s="6"/>
      <c r="C51" s="11"/>
      <c r="D51" s="11"/>
      <c r="E51" s="11"/>
      <c r="F51" s="11"/>
      <c r="G51" s="11"/>
    </row>
    <row r="52" spans="1:24" ht="15" customHeight="1">
      <c r="A52" s="62"/>
      <c r="B52" s="6">
        <v>6</v>
      </c>
      <c r="C52" s="11">
        <f>C27</f>
        <v>77.727325522527281</v>
      </c>
      <c r="D52" s="11">
        <f>D27</f>
        <v>117.69947968517164</v>
      </c>
      <c r="E52" s="11">
        <f>E27</f>
        <v>144</v>
      </c>
      <c r="F52" s="11">
        <f>F27</f>
        <v>90.494915752287085</v>
      </c>
      <c r="G52" s="11">
        <f>G27</f>
        <v>116.79543606711545</v>
      </c>
    </row>
    <row r="53" spans="1:24" ht="15" customHeight="1">
      <c r="A53" s="63"/>
      <c r="B53" s="6"/>
      <c r="C53" s="11">
        <f>C7</f>
        <v>113.20914864260475</v>
      </c>
      <c r="D53" s="11">
        <f>D7</f>
        <v>45.73946505608285</v>
      </c>
      <c r="E53" s="11">
        <f>E7</f>
        <v>0</v>
      </c>
      <c r="F53" s="11">
        <f>F7</f>
        <v>6.1162630311711936</v>
      </c>
      <c r="G53" s="11">
        <f>G7</f>
        <v>-39.623202024911656</v>
      </c>
    </row>
    <row r="54" spans="1:24" ht="15" customHeight="1">
      <c r="A54" s="19"/>
      <c r="B54" s="19"/>
      <c r="C54" s="20"/>
      <c r="D54" s="20"/>
      <c r="E54" s="20"/>
      <c r="F54" s="21"/>
      <c r="G54" s="21"/>
    </row>
    <row r="55" spans="1:24" ht="15" customHeight="1">
      <c r="A55" s="38" t="s">
        <v>38</v>
      </c>
      <c r="B55" s="6">
        <v>1</v>
      </c>
      <c r="C55" s="41">
        <f>ASIN(T23/(SQRT(POWER(T29,2)+POWER(T35,2))))-ATAN(T35/T29)</f>
        <v>0.20352842103059421</v>
      </c>
      <c r="D55" s="36"/>
      <c r="E55" s="36">
        <f t="shared" ref="E55:E60" si="10">DEGREES(C55)</f>
        <v>11.661319536014712</v>
      </c>
      <c r="F55" s="36"/>
      <c r="G55" s="22">
        <f>((E55 - $S$12)*($S$5-$S$4)+$S$4*($S$13-$S$12))/($S$13-$S$12)</f>
        <v>404.15329884003683</v>
      </c>
    </row>
    <row r="56" spans="1:24" ht="15" customHeight="1">
      <c r="A56" s="39"/>
      <c r="B56" s="6">
        <v>2</v>
      </c>
      <c r="C56" s="41">
        <f>ASIN(T24/(SQRT(POWER(T30,2)+POWER(T36,2))))-ATAN(T36/T30)</f>
        <v>0.17781961689141651</v>
      </c>
      <c r="D56" s="36"/>
      <c r="E56" s="36">
        <f t="shared" si="10"/>
        <v>10.18831356251137</v>
      </c>
      <c r="F56" s="36"/>
      <c r="G56" s="22">
        <f>((E56 - $S$12)*($S$4-$S$5)+$S$5*($S$13-$S$12))/($S$13-$S$12)</f>
        <v>349.52921609372157</v>
      </c>
      <c r="I56" s="50" t="s">
        <v>12</v>
      </c>
      <c r="J56" s="51"/>
    </row>
    <row r="57" spans="1:24" ht="15" customHeight="1">
      <c r="A57" s="39"/>
      <c r="B57" s="6">
        <v>3</v>
      </c>
      <c r="C57" s="41">
        <f>ASIN(T25/(SQRT(POWER(T31,2)+POWER(T37,2))))-ATAN(T37/T31)</f>
        <v>0.1778196168914149</v>
      </c>
      <c r="D57" s="36"/>
      <c r="E57" s="36">
        <f t="shared" si="10"/>
        <v>10.188313562511278</v>
      </c>
      <c r="F57" s="36"/>
      <c r="G57" s="22">
        <f>((E57 - $S$12)*($S$5-$S$4)+$S$4*($S$13-$S$12))/($S$13-$S$12)</f>
        <v>400.4707839062782</v>
      </c>
      <c r="I57" s="45" t="s">
        <v>17</v>
      </c>
      <c r="J57" s="47">
        <f>((J48-0)*(50+50))/(100-0)-50</f>
        <v>1</v>
      </c>
    </row>
    <row r="58" spans="1:24" ht="15" customHeight="1">
      <c r="A58" s="39"/>
      <c r="B58" s="6">
        <v>4</v>
      </c>
      <c r="C58" s="41">
        <f>ASIN(T26/(SQRT(POWER(T32,2)+POWER(T38,2))))-ATAN(T38/T32)</f>
        <v>0.20352842103059421</v>
      </c>
      <c r="D58" s="36"/>
      <c r="E58" s="36">
        <f t="shared" si="10"/>
        <v>11.661319536014712</v>
      </c>
      <c r="F58" s="36"/>
      <c r="G58" s="22">
        <f>((E58 - $S$12)*($S$4-$S$5)+$S$5*($S$13-$S$12))/($S$13-$S$12)</f>
        <v>345.84670115996323</v>
      </c>
      <c r="I58" s="45" t="s">
        <v>18</v>
      </c>
      <c r="J58" s="47">
        <f>((K48-0)*(50+50))/(100-0)-50</f>
        <v>0</v>
      </c>
    </row>
    <row r="59" spans="1:24" ht="15" customHeight="1">
      <c r="A59" s="39"/>
      <c r="B59" s="6">
        <v>5</v>
      </c>
      <c r="C59" s="41">
        <f>ASIN(T27/(SQRT(POWER(T33,2)+POWER(T39,2))))-ATAN(T39/T33)</f>
        <v>0.17350229119961241</v>
      </c>
      <c r="D59" s="36"/>
      <c r="E59" s="36">
        <f t="shared" si="10"/>
        <v>9.9409490215875955</v>
      </c>
      <c r="F59" s="36"/>
      <c r="G59" s="22">
        <f>((E59 - $S$12)*($S$5-$S$4)+$S$4*($S$13-$S$12))/($S$13-$S$12)</f>
        <v>399.85237255396902</v>
      </c>
      <c r="I59" s="45" t="s">
        <v>19</v>
      </c>
      <c r="J59" s="47">
        <f>((L48-0)*(50+50))/(100-0)-50</f>
        <v>0</v>
      </c>
    </row>
    <row r="60" spans="1:24" ht="15" customHeight="1">
      <c r="A60" s="40"/>
      <c r="B60" s="6">
        <v>6</v>
      </c>
      <c r="C60" s="41">
        <f>ASIN(T28/(SQRT(POWER(T34,2)+POWER(T40,2))))-ATAN(T40/T34)</f>
        <v>0.17350229119961325</v>
      </c>
      <c r="D60" s="36"/>
      <c r="E60" s="36">
        <f t="shared" si="10"/>
        <v>9.9409490215876435</v>
      </c>
      <c r="F60" s="36"/>
      <c r="G60" s="22">
        <f>((E60 - $S$12)*($S$4-$S$5)+$S$5*($S$13-$S$12))/($S$13-$S$12)</f>
        <v>350.14762744603087</v>
      </c>
    </row>
    <row r="61" spans="1:24" ht="15" customHeight="1">
      <c r="A61" s="19"/>
      <c r="B61" s="19"/>
      <c r="C61" s="20"/>
      <c r="D61" s="20"/>
      <c r="E61" s="20"/>
      <c r="F61" s="21"/>
      <c r="G61" s="21"/>
      <c r="I61" s="50" t="s">
        <v>13</v>
      </c>
      <c r="J61" s="52"/>
      <c r="K61" s="51"/>
    </row>
    <row r="62" spans="1:24" ht="15" customHeight="1">
      <c r="A62" s="64" t="s">
        <v>55</v>
      </c>
      <c r="B62" s="6">
        <v>1</v>
      </c>
      <c r="C62" s="1">
        <f>$S$8*COS($C55)*COS(V$11)+C2</f>
        <v>-50.919043519710073</v>
      </c>
      <c r="D62" s="1">
        <f>$S$8*COS($C55)*SIN(V$11)+D2</f>
        <v>140.49892098260187</v>
      </c>
      <c r="E62" s="1">
        <f>S8*SIN(C55)+E2</f>
        <v>8.0850469781340699</v>
      </c>
      <c r="F62" s="11">
        <f t="shared" ref="F62:F77" si="11">(-0.35*C62)+D62</f>
        <v>158.32058621450039</v>
      </c>
      <c r="G62" s="11">
        <f t="shared" ref="G62:G77" si="12">(-0.35*C62)+E62</f>
        <v>25.906712210032595</v>
      </c>
      <c r="I62" s="45" t="s">
        <v>14</v>
      </c>
      <c r="J62" s="46">
        <f>((M48-0)*(45+45))/(90-0)-45</f>
        <v>0</v>
      </c>
      <c r="K62" s="46">
        <f>RADIANS(J62)</f>
        <v>0</v>
      </c>
    </row>
    <row r="63" spans="1:24" ht="15" customHeight="1">
      <c r="A63" s="65"/>
      <c r="B63" s="6"/>
      <c r="C63" s="11">
        <f>C2</f>
        <v>-16.993035627224042</v>
      </c>
      <c r="D63" s="11">
        <f>D2</f>
        <v>120.91173119334572</v>
      </c>
      <c r="E63" s="11">
        <f>E2</f>
        <v>0</v>
      </c>
      <c r="F63" s="11">
        <f>F2</f>
        <v>126.85929366287414</v>
      </c>
      <c r="G63" s="11">
        <f>G2</f>
        <v>5.9475624695284148</v>
      </c>
      <c r="I63" s="45" t="s">
        <v>15</v>
      </c>
      <c r="J63" s="46">
        <f>((N48-0)*(45+45))/(90-0)-45</f>
        <v>0</v>
      </c>
      <c r="K63" s="46">
        <f>RADIANS(J63)</f>
        <v>0</v>
      </c>
    </row>
    <row r="64" spans="1:24" ht="15" customHeight="1">
      <c r="A64" s="65"/>
      <c r="B64" s="6"/>
      <c r="C64" s="1"/>
      <c r="D64" s="1"/>
      <c r="E64" s="1"/>
      <c r="F64" s="11"/>
      <c r="G64" s="11"/>
      <c r="I64" s="45" t="s">
        <v>16</v>
      </c>
      <c r="J64" s="46">
        <f>((O48-0)*(45+45))/(90-0)-45</f>
        <v>0</v>
      </c>
      <c r="K64" s="46">
        <f>RADIANS(J64)</f>
        <v>0</v>
      </c>
    </row>
    <row r="65" spans="1:7" ht="15" customHeight="1">
      <c r="A65" s="65"/>
      <c r="B65" s="6">
        <v>2</v>
      </c>
      <c r="C65" s="1">
        <f>$S$8*COS($C56)*COS(W$11)+C3</f>
        <v>-96.216113015380728</v>
      </c>
      <c r="D65" s="1">
        <f>$S$8*COS($C56)*SIN(W$11)+D3</f>
        <v>114.54153441352089</v>
      </c>
      <c r="E65" s="1">
        <f>S8*SIN(C56)+E3</f>
        <v>7.0753597358739135</v>
      </c>
      <c r="F65" s="11">
        <f t="shared" si="11"/>
        <v>148.21717396890415</v>
      </c>
      <c r="G65" s="11">
        <f t="shared" si="12"/>
        <v>40.750999291257159</v>
      </c>
    </row>
    <row r="66" spans="1:7" ht="15" customHeight="1">
      <c r="A66" s="65"/>
      <c r="B66" s="6"/>
      <c r="C66" s="11">
        <f>C3</f>
        <v>-96.216113015380728</v>
      </c>
      <c r="D66" s="11">
        <f>D3</f>
        <v>75.172266137262895</v>
      </c>
      <c r="E66" s="11">
        <f>E3</f>
        <v>0</v>
      </c>
      <c r="F66" s="11">
        <f>F3</f>
        <v>108.84790569264615</v>
      </c>
      <c r="G66" s="11">
        <f>G3</f>
        <v>33.675639555383249</v>
      </c>
    </row>
    <row r="67" spans="1:7" ht="15" customHeight="1">
      <c r="A67" s="65"/>
      <c r="B67" s="6"/>
      <c r="C67" s="1"/>
      <c r="D67" s="1"/>
      <c r="E67" s="1"/>
      <c r="F67" s="11"/>
      <c r="G67" s="11"/>
    </row>
    <row r="68" spans="1:7" ht="15" customHeight="1">
      <c r="A68" s="65"/>
      <c r="B68" s="6">
        <v>3</v>
      </c>
      <c r="C68" s="1">
        <f>$S$8*COS($C57)*COS(X$11)+C$4</f>
        <v>-96.21611301538077</v>
      </c>
      <c r="D68" s="1">
        <f>$S$8*COS($C57)*SIN(X$11)+D$4</f>
        <v>-114.54153441352086</v>
      </c>
      <c r="E68" s="1">
        <f>S8*SIN(C57)+E4</f>
        <v>7.0753597358738505</v>
      </c>
      <c r="F68" s="11">
        <f t="shared" si="11"/>
        <v>-80.865894858137594</v>
      </c>
      <c r="G68" s="11">
        <f t="shared" si="12"/>
        <v>40.750999291257124</v>
      </c>
    </row>
    <row r="69" spans="1:7" ht="15" customHeight="1">
      <c r="A69" s="65"/>
      <c r="B69" s="6"/>
      <c r="C69" s="11">
        <f>C4</f>
        <v>-96.21611301538077</v>
      </c>
      <c r="D69" s="11">
        <f>D4</f>
        <v>-75.172266137262852</v>
      </c>
      <c r="E69" s="11">
        <f>E4</f>
        <v>0</v>
      </c>
      <c r="F69" s="11">
        <f>F4</f>
        <v>-41.496626581879582</v>
      </c>
      <c r="G69" s="11">
        <f>G4</f>
        <v>33.67563955538327</v>
      </c>
    </row>
    <row r="70" spans="1:7" ht="15" customHeight="1">
      <c r="A70" s="65"/>
      <c r="B70" s="6"/>
      <c r="C70" s="1"/>
      <c r="D70" s="1"/>
      <c r="E70" s="1"/>
      <c r="F70" s="11"/>
      <c r="G70" s="11"/>
    </row>
    <row r="71" spans="1:7">
      <c r="A71" s="65"/>
      <c r="B71" s="6">
        <v>4</v>
      </c>
      <c r="C71" s="1">
        <f>$S$8*COS($C58)*COS(Y$11)+C5</f>
        <v>-50.91904351971003</v>
      </c>
      <c r="D71" s="1">
        <f>$S$8*COS($C58)*SIN(Y$11)+D5</f>
        <v>-140.49892098260187</v>
      </c>
      <c r="E71" s="1">
        <f>S8*SIN(C58)+E5</f>
        <v>8.0850469781340699</v>
      </c>
      <c r="F71" s="11">
        <f t="shared" si="11"/>
        <v>-122.67725575070337</v>
      </c>
      <c r="G71" s="11">
        <f t="shared" si="12"/>
        <v>25.90671221003258</v>
      </c>
    </row>
    <row r="72" spans="1:7">
      <c r="A72" s="65"/>
      <c r="B72" s="6"/>
      <c r="C72" s="11">
        <f>C5</f>
        <v>-16.993035627224</v>
      </c>
      <c r="D72" s="11">
        <f>D5</f>
        <v>-120.91173119334572</v>
      </c>
      <c r="E72" s="11">
        <f>E5</f>
        <v>0</v>
      </c>
      <c r="F72" s="11">
        <f>F5</f>
        <v>-114.96416872381732</v>
      </c>
      <c r="G72" s="11">
        <f>G5</f>
        <v>5.9475624695283997</v>
      </c>
    </row>
    <row r="73" spans="1:7">
      <c r="A73" s="65"/>
      <c r="B73" s="6"/>
      <c r="C73" s="1"/>
      <c r="D73" s="1"/>
      <c r="E73" s="1"/>
      <c r="F73" s="11"/>
      <c r="G73" s="11"/>
    </row>
    <row r="74" spans="1:7">
      <c r="A74" s="65"/>
      <c r="B74" s="6">
        <v>5</v>
      </c>
      <c r="C74" s="1">
        <f>$S$8*COS($C59)*COS(Z$11)+C6</f>
        <v>147.33007142469501</v>
      </c>
      <c r="D74" s="1">
        <f>$S$8*COS($C59)*SIN(Z$11)+D$6</f>
        <v>-26.03974110284463</v>
      </c>
      <c r="E74" s="1">
        <f>S8*SIN(C59)+E6</f>
        <v>6.905324370719061</v>
      </c>
      <c r="F74" s="11">
        <f t="shared" si="11"/>
        <v>-77.605266101487871</v>
      </c>
      <c r="G74" s="11">
        <f t="shared" si="12"/>
        <v>-44.660200627924183</v>
      </c>
    </row>
    <row r="75" spans="1:7">
      <c r="A75" s="65"/>
      <c r="B75" s="6"/>
      <c r="C75" s="11">
        <f>C6</f>
        <v>113.20914864260475</v>
      </c>
      <c r="D75" s="11">
        <f>D6</f>
        <v>-45.739465056082864</v>
      </c>
      <c r="E75" s="11">
        <f>E6</f>
        <v>0</v>
      </c>
      <c r="F75" s="11">
        <f>F6</f>
        <v>-85.362667080994527</v>
      </c>
      <c r="G75" s="11">
        <f>G6</f>
        <v>-39.623202024911656</v>
      </c>
    </row>
    <row r="76" spans="1:7">
      <c r="A76" s="65"/>
      <c r="B76" s="6"/>
      <c r="C76" s="1"/>
      <c r="D76" s="1"/>
      <c r="E76" s="1"/>
      <c r="F76" s="11"/>
      <c r="G76" s="11"/>
    </row>
    <row r="77" spans="1:7">
      <c r="A77" s="65"/>
      <c r="B77" s="6">
        <v>6</v>
      </c>
      <c r="C77" s="1">
        <f>$S$8*COS($C60)*COS(AA$11)+C7</f>
        <v>147.33007142469498</v>
      </c>
      <c r="D77" s="1">
        <f>$S$8*COS($C60)*SIN(AA$11)+D7</f>
        <v>26.039741102844619</v>
      </c>
      <c r="E77" s="1">
        <f>S8*SIN(C60)+E7</f>
        <v>6.9053243707190948</v>
      </c>
      <c r="F77" s="11">
        <f t="shared" si="11"/>
        <v>-25.525783895798622</v>
      </c>
      <c r="G77" s="11">
        <f t="shared" si="12"/>
        <v>-44.660200627924148</v>
      </c>
    </row>
    <row r="78" spans="1:7">
      <c r="A78" s="66"/>
      <c r="B78" s="2"/>
      <c r="C78" s="11">
        <f>C7</f>
        <v>113.20914864260475</v>
      </c>
      <c r="D78" s="11">
        <f>D7</f>
        <v>45.73946505608285</v>
      </c>
      <c r="E78" s="11">
        <f>E7</f>
        <v>0</v>
      </c>
      <c r="F78" s="11">
        <f>F7</f>
        <v>6.1162630311711936</v>
      </c>
      <c r="G78" s="11">
        <f>G7</f>
        <v>-39.623202024911656</v>
      </c>
    </row>
    <row r="84" spans="6:7">
      <c r="G84" s="13"/>
    </row>
    <row r="85" spans="6:7">
      <c r="G85" s="13"/>
    </row>
    <row r="86" spans="6:7">
      <c r="G86" s="13"/>
    </row>
    <row r="87" spans="6:7">
      <c r="G87" s="13"/>
    </row>
    <row r="88" spans="6:7">
      <c r="G88" s="14"/>
    </row>
    <row r="89" spans="6:7">
      <c r="F89" s="14"/>
      <c r="G89" s="14"/>
    </row>
    <row r="90" spans="6:7" ht="26.25" customHeight="1">
      <c r="G90" s="14"/>
    </row>
    <row r="91" spans="6:7" ht="15" customHeight="1">
      <c r="G91" s="14"/>
    </row>
    <row r="92" spans="6:7">
      <c r="G92" s="14"/>
    </row>
    <row r="93" spans="6:7">
      <c r="G93" s="14"/>
    </row>
    <row r="107" spans="3:7">
      <c r="C107" s="18"/>
      <c r="D107" s="18"/>
      <c r="E107" s="18"/>
      <c r="F107" s="18"/>
      <c r="G107" s="18"/>
    </row>
    <row r="108" spans="3:7">
      <c r="C108" s="17"/>
      <c r="D108" s="17"/>
      <c r="E108" s="17"/>
      <c r="F108" s="17"/>
      <c r="G108" s="17"/>
    </row>
    <row r="109" spans="3:7">
      <c r="C109" s="17"/>
      <c r="D109" s="17"/>
      <c r="E109" s="17"/>
      <c r="F109" s="17"/>
      <c r="G109" s="17"/>
    </row>
    <row r="110" spans="3:7">
      <c r="C110" s="18"/>
      <c r="D110" s="18"/>
      <c r="E110" s="18"/>
      <c r="F110" s="18"/>
      <c r="G110" s="18"/>
    </row>
    <row r="111" spans="3:7">
      <c r="C111" s="18"/>
      <c r="D111" s="18"/>
      <c r="E111" s="18"/>
      <c r="F111" s="18"/>
      <c r="G111" s="18"/>
    </row>
    <row r="112" spans="3:7">
      <c r="C112" s="18"/>
      <c r="D112" s="18"/>
      <c r="E112" s="18"/>
      <c r="F112" s="18"/>
      <c r="G112" s="18"/>
    </row>
    <row r="113" spans="3:7">
      <c r="C113" s="17"/>
      <c r="D113" s="17"/>
      <c r="E113" s="17"/>
      <c r="F113" s="17"/>
      <c r="G113" s="17"/>
    </row>
    <row r="114" spans="3:7">
      <c r="C114" s="17"/>
      <c r="D114" s="17"/>
      <c r="E114" s="17"/>
      <c r="F114" s="17"/>
      <c r="G114" s="17"/>
    </row>
  </sheetData>
  <mergeCells count="36">
    <mergeCell ref="U23:U40"/>
    <mergeCell ref="R23:R28"/>
    <mergeCell ref="R29:R34"/>
    <mergeCell ref="R35:R40"/>
    <mergeCell ref="J46:J47"/>
    <mergeCell ref="K46:K47"/>
    <mergeCell ref="L46:L47"/>
    <mergeCell ref="M46:M47"/>
    <mergeCell ref="N46:N47"/>
    <mergeCell ref="O46:O47"/>
    <mergeCell ref="R43:R49"/>
    <mergeCell ref="A62:A78"/>
    <mergeCell ref="A37:A53"/>
    <mergeCell ref="A30:A35"/>
    <mergeCell ref="C30:G30"/>
    <mergeCell ref="C31:G31"/>
    <mergeCell ref="C32:G32"/>
    <mergeCell ref="C33:G33"/>
    <mergeCell ref="C34:G34"/>
    <mergeCell ref="C35:G35"/>
    <mergeCell ref="C55:D55"/>
    <mergeCell ref="C56:D56"/>
    <mergeCell ref="C57:D57"/>
    <mergeCell ref="C58:D58"/>
    <mergeCell ref="C59:D59"/>
    <mergeCell ref="C60:D60"/>
    <mergeCell ref="A55:A60"/>
    <mergeCell ref="E60:F60"/>
    <mergeCell ref="E55:F55"/>
    <mergeCell ref="E56:F56"/>
    <mergeCell ref="E57:F57"/>
    <mergeCell ref="E58:F58"/>
    <mergeCell ref="E59:F59"/>
    <mergeCell ref="A10:A20"/>
    <mergeCell ref="A22:A28"/>
    <mergeCell ref="A2:A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Spinner 20">
              <controlPr defaultSize="0" autoPict="0">
                <anchor moveWithCells="1" sizeWithCells="1">
                  <from>
                    <xdr:col>11</xdr:col>
                    <xdr:colOff>95250</xdr:colOff>
                    <xdr:row>46</xdr:row>
                    <xdr:rowOff>171450</xdr:rowOff>
                  </from>
                  <to>
                    <xdr:col>11</xdr:col>
                    <xdr:colOff>590550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Spinner 22">
              <controlPr defaultSize="0" autoPict="0">
                <anchor moveWithCells="1" sizeWithCells="1">
                  <from>
                    <xdr:col>12</xdr:col>
                    <xdr:colOff>142875</xdr:colOff>
                    <xdr:row>46</xdr:row>
                    <xdr:rowOff>171450</xdr:rowOff>
                  </from>
                  <to>
                    <xdr:col>12</xdr:col>
                    <xdr:colOff>628650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Spinner 23">
              <controlPr defaultSize="0" autoPict="0">
                <anchor moveWithCells="1" sizeWithCells="1">
                  <from>
                    <xdr:col>13</xdr:col>
                    <xdr:colOff>104775</xdr:colOff>
                    <xdr:row>46</xdr:row>
                    <xdr:rowOff>190500</xdr:rowOff>
                  </from>
                  <to>
                    <xdr:col>13</xdr:col>
                    <xdr:colOff>590550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Spinner 24">
              <controlPr defaultSize="0" autoPict="0">
                <anchor moveWithCells="1" sizeWithCells="1">
                  <from>
                    <xdr:col>14</xdr:col>
                    <xdr:colOff>152400</xdr:colOff>
                    <xdr:row>47</xdr:row>
                    <xdr:rowOff>9525</xdr:rowOff>
                  </from>
                  <to>
                    <xdr:col>14</xdr:col>
                    <xdr:colOff>638175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Spinner 25">
              <controlPr defaultSize="0" autoPict="0">
                <anchor moveWithCells="1" sizeWithCells="1">
                  <from>
                    <xdr:col>10</xdr:col>
                    <xdr:colOff>104775</xdr:colOff>
                    <xdr:row>46</xdr:row>
                    <xdr:rowOff>171450</xdr:rowOff>
                  </from>
                  <to>
                    <xdr:col>10</xdr:col>
                    <xdr:colOff>581025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Spinner 26">
              <controlPr defaultSize="0" autoPict="0">
                <anchor moveWithCells="1" sizeWithCells="1">
                  <from>
                    <xdr:col>9</xdr:col>
                    <xdr:colOff>133350</xdr:colOff>
                    <xdr:row>46</xdr:row>
                    <xdr:rowOff>171450</xdr:rowOff>
                  </from>
                  <to>
                    <xdr:col>9</xdr:col>
                    <xdr:colOff>609600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Simoni</dc:creator>
  <cp:lastModifiedBy>Tyler Simoni</cp:lastModifiedBy>
  <dcterms:created xsi:type="dcterms:W3CDTF">2020-01-22T01:21:58Z</dcterms:created>
  <dcterms:modified xsi:type="dcterms:W3CDTF">2020-01-25T04:42:35Z</dcterms:modified>
</cp:coreProperties>
</file>